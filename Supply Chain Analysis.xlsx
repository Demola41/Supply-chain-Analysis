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user\Desktop\Quantum Data Analysis Program\Excel\Project\"/>
    </mc:Choice>
  </mc:AlternateContent>
  <xr:revisionPtr revIDLastSave="0" documentId="13_ncr:1_{18BE07D1-36C6-4932-85B0-0D14CDABD032}" xr6:coauthVersionLast="47" xr6:coauthVersionMax="47" xr10:uidLastSave="{00000000-0000-0000-0000-000000000000}"/>
  <bookViews>
    <workbookView xWindow="-108" yWindow="-108" windowWidth="23256" windowHeight="13176" firstSheet="1" activeTab="2" xr2:uid="{3B0A3F85-7CF8-4D24-B7E5-DE2AB9C32EEE}"/>
  </bookViews>
  <sheets>
    <sheet name="Supply Chain" sheetId="2" r:id="rId1"/>
    <sheet name="Analysis" sheetId="3" r:id="rId2"/>
    <sheet name="Supplier and Logistic Dashboard" sheetId="4" r:id="rId3"/>
    <sheet name="Customer DashBoard" sheetId="6" r:id="rId4"/>
  </sheets>
  <definedNames>
    <definedName name="_xlcn.WorksheetConnection_SupplyChainAnalysis.xlsxSupply_Chain_Analysis1" hidden="1">Supply_Chain_Analysis[]</definedName>
    <definedName name="Avg">Analysis!$G$4</definedName>
    <definedName name="AVG_Price_of_Goods">Analysis!$B$4</definedName>
    <definedName name="Avg_Shipping_Time">Analysis!$I$4</definedName>
    <definedName name="Avg_Sup_Leadtime">Analysis!$G$4</definedName>
    <definedName name="Avg_Transportation_Cost">Analysis!$J$4</definedName>
    <definedName name="Defect_rate">Analysis!$H$4</definedName>
    <definedName name="ExternalData_1" localSheetId="0" hidden="1">'Supply Chain'!$A$1:$X$101</definedName>
    <definedName name="Orders">Analysis!$E$4</definedName>
    <definedName name="Product_Sold">Analysis!$D$4</definedName>
    <definedName name="Product_Type">Analysis!$A$4</definedName>
    <definedName name="Revenue">Analysis!$C$4</definedName>
    <definedName name="Slicer_Customer_demographics">#N/A</definedName>
    <definedName name="Slicer_Location">#N/A</definedName>
    <definedName name="Slicer_Product_type">#N/A</definedName>
    <definedName name="Stock_level">Analysis!$K$4</definedName>
    <definedName name="Total_shipping_cost">Analysis!$F$4</definedName>
  </definedNames>
  <calcPr calcId="191029"/>
  <pivotCaches>
    <pivotCache cacheId="1049" r:id="rId5"/>
    <pivotCache cacheId="1052" r:id="rId6"/>
    <pivotCache cacheId="1055" r:id="rId7"/>
    <pivotCache cacheId="1058" r:id="rId8"/>
    <pivotCache cacheId="1061" r:id="rId9"/>
    <pivotCache cacheId="1064" r:id="rId10"/>
    <pivotCache cacheId="1067" r:id="rId11"/>
    <pivotCache cacheId="1070" r:id="rId12"/>
    <pivotCache cacheId="1073" r:id="rId13"/>
    <pivotCache cacheId="1076" r:id="rId14"/>
    <pivotCache cacheId="1079" r:id="rId15"/>
    <pivotCache cacheId="1082" r:id="rId16"/>
    <pivotCache cacheId="1085" r:id="rId17"/>
    <pivotCache cacheId="1088" r:id="rId18"/>
  </pivotCaches>
  <extLst>
    <ext xmlns:x14="http://schemas.microsoft.com/office/spreadsheetml/2009/9/main" uri="{876F7934-8845-4945-9796-88D515C7AA90}">
      <x14:pivotCaches>
        <pivotCache cacheId="539"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y Chain Analysis_7be5c76f-e323-4eb7-bf13-9d3b387ab51a" name="Supply Chain Analysis" connection="Query - Supply Chain Analysis"/>
          <x15:modelTable id="Supply_Chain_Analysis" name="Supply_Chain_Analysis" connection="WorksheetConnection_Supply Chain Analysis.xlsx!Supply_Chain_Analysi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BD6BEB-82FC-4CA3-9CFD-80BF83CE2043}" keepAlive="1" name="ModelConnection_ExternalData_1" description="Data Model" type="5" refreshedVersion="8" minRefreshableVersion="5" saveData="1">
    <dbPr connection="Data Model Connection" command="Supply Chain Analysis" commandType="3"/>
    <extLst>
      <ext xmlns:x15="http://schemas.microsoft.com/office/spreadsheetml/2010/11/main" uri="{DE250136-89BD-433C-8126-D09CA5730AF9}">
        <x15:connection id="" model="1"/>
      </ext>
    </extLst>
  </connection>
  <connection id="2" xr16:uid="{CAFFAF99-DE07-4952-8ACE-438B2FBD0F00}" name="Query - Supply Chain Analysis" description="Connection to the 'Supply Chain Analysis' query in the workbook." type="100" refreshedVersion="8" minRefreshableVersion="5">
    <extLst>
      <ext xmlns:x15="http://schemas.microsoft.com/office/spreadsheetml/2010/11/main" uri="{DE250136-89BD-433C-8126-D09CA5730AF9}">
        <x15:connection id="fac37c04-dbb6-4682-8f0e-9d3332519258"/>
      </ext>
    </extLst>
  </connection>
  <connection id="3" xr16:uid="{A2D86A92-F627-43D0-9085-A8461096C7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B7ADA86-64B9-4F0D-A1D7-4AFE651853C4}" name="WorksheetConnection_Supply Chain Analysis.xlsx!Supply_Chain_Analysis" type="102" refreshedVersion="8" minRefreshableVersion="5">
    <extLst>
      <ext xmlns:x15="http://schemas.microsoft.com/office/spreadsheetml/2010/11/main" uri="{DE250136-89BD-433C-8126-D09CA5730AF9}">
        <x15:connection id="Supply_Chain_Analysis" autoDelete="1">
          <x15:rangePr sourceName="_xlcn.WorksheetConnection_SupplyChainAnalysis.xlsxSupply_Chain_Analysis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Supply Chain Analysis].[Product type].[All]}"/>
  </metadataStrings>
  <mdxMetadata count="1">
    <mdx n="0" f="s">
      <ms ns="1" c="0"/>
    </mdx>
  </mdxMetadata>
  <valueMetadata count="1">
    <bk>
      <rc t="1" v="0"/>
    </bk>
  </valueMetadata>
</metadata>
</file>

<file path=xl/sharedStrings.xml><?xml version="1.0" encoding="utf-8"?>
<sst xmlns="http://schemas.openxmlformats.org/spreadsheetml/2006/main" count="1233" uniqueCount="195">
  <si>
    <t>Product type</t>
  </si>
  <si>
    <t>SKU</t>
  </si>
  <si>
    <t>Price</t>
  </si>
  <si>
    <t>Availability</t>
  </si>
  <si>
    <t>Number of products sold</t>
  </si>
  <si>
    <t>Customer demographics</t>
  </si>
  <si>
    <t>Stock levels</t>
  </si>
  <si>
    <t>Order quantities</t>
  </si>
  <si>
    <t>Shipping times</t>
  </si>
  <si>
    <t>Shipping carriers</t>
  </si>
  <si>
    <t>Shipping costs</t>
  </si>
  <si>
    <t>Supplier name</t>
  </si>
  <si>
    <t>Location</t>
  </si>
  <si>
    <t>Production volumes</t>
  </si>
  <si>
    <t>Manufacturing lead time</t>
  </si>
  <si>
    <t>Manufacturing costs</t>
  </si>
  <si>
    <t>Inspection results</t>
  </si>
  <si>
    <t>Defect rates</t>
  </si>
  <si>
    <t>Transportation modes</t>
  </si>
  <si>
    <t>Routes</t>
  </si>
  <si>
    <t>SKU0</t>
  </si>
  <si>
    <t>Non-binary</t>
  </si>
  <si>
    <t>Carrier B</t>
  </si>
  <si>
    <t>Supplier 3</t>
  </si>
  <si>
    <t>Mumbai</t>
  </si>
  <si>
    <t>Pending</t>
  </si>
  <si>
    <t>Road</t>
  </si>
  <si>
    <t>Route B</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</si>
  <si>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</si>
  <si>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</si>
  <si>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</si>
  <si>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</si>
  <si>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</si>
  <si>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</si>
  <si>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</si>
  <si>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</si>
  <si>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</si>
  <si>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</si>
  <si>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</si>
  <si>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</si>
  <si>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</si>
  <si>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</si>
  <si>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</si>
  <si>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</si>
  <si>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</si>
  <si>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</si>
  <si>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</si>
  <si>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</si>
  <si>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</si>
  <si>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</si>
  <si>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</si>
  <si>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</si>
  <si>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</si>
  <si>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</si>
  <si>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</si>
  <si>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</si>
  <si>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</si>
  <si>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</si>
  <si>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</si>
  <si>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</si>
  <si>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</si>
  <si>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</si>
  <si>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</si>
  <si>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</si>
  <si>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</si>
  <si>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</si>
  <si>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</si>
  <si>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</si>
  <si>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</si>
  <si>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</si>
  <si>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</si>
  <si>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</si>
  <si>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</si>
  <si>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</si>
  <si>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</si>
  <si>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</si>
  <si>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</si>
  <si>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</si>
  <si>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</si>
  <si>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</si>
  <si>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</si>
  <si>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</si>
  <si>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</si>
  <si>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</si>
  <si>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</si>
  <si>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</si>
  <si>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</si>
  <si>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</si>
  <si>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</si>
  <si>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</si>
  <si>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</si>
  <si>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</si>
  <si>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</si>
  <si>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</si>
  <si>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</si>
  <si>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</si>
  <si>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</si>
  <si>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</si>
  <si>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</si>
  <si>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</si>
  <si>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</si>
  <si>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</si>
  <si>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</si>
  <si>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</si>
  <si>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</si>
  <si>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</si>
  <si>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</si>
  <si>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</si>
  <si>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</si>
  <si>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</si>
  <si>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</si>
  <si>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</si>
  <si>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</si>
  <si>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</si>
  <si>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</si>
  <si>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</si>
  <si>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</si>
  <si>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</si>
  <si>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</si>
  <si>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</si>
  <si>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</si>
  <si>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</si>
  <si>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</si>
  <si>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</si>
  <si>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</si>
  <si>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</si>
  <si>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</si>
  <si>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</si>
  <si>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</si>
  <si>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</si>
  <si>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</si>
  <si>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</si>
  <si>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</si>
  <si>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</si>
  <si>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</si>
  <si>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</si>
  <si>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</si>
  <si>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</si>
  <si>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</si>
  <si>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</si>
  <si>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</si>
  <si>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</si>
  <si>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</si>
  <si>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</si>
  <si>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</si>
  <si>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</si>
  <si>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</si>
  <si>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Revenue Generated</t>
  </si>
  <si>
    <t>Transportation Costs</t>
  </si>
  <si>
    <t>Haircare</t>
  </si>
  <si>
    <t>Skincare</t>
  </si>
  <si>
    <t>Cosmetics</t>
  </si>
  <si>
    <t>Count of Product Type</t>
  </si>
  <si>
    <t>Average Price  Of  Goods</t>
  </si>
  <si>
    <t>Total Revenue Generated</t>
  </si>
  <si>
    <t>Products Sold</t>
  </si>
  <si>
    <t>Total Orders</t>
  </si>
  <si>
    <t>Total Shipping Cost</t>
  </si>
  <si>
    <t>Suppliers Lead times</t>
  </si>
  <si>
    <t>Shipping Lead time</t>
  </si>
  <si>
    <t>Average S.Leadtime</t>
  </si>
  <si>
    <t>Average Defect Rate</t>
  </si>
  <si>
    <t>Average shipping time</t>
  </si>
  <si>
    <t>Average Transportation Costs</t>
  </si>
  <si>
    <t>Total Stock Levels</t>
  </si>
  <si>
    <t>KPIs</t>
  </si>
  <si>
    <t>Supplier Category</t>
  </si>
  <si>
    <t>Grand Total</t>
  </si>
  <si>
    <t>Sum of Revenue Generated</t>
  </si>
  <si>
    <t>Shipping Carriers</t>
  </si>
  <si>
    <t>Logistics Category</t>
  </si>
  <si>
    <t>What is the total revenue generated by the various shipping carriers?</t>
  </si>
  <si>
    <t>What are the various shipping costs by Carriers?</t>
  </si>
  <si>
    <t>Cost distribution by various transport mode</t>
  </si>
  <si>
    <t>Transportation Mode</t>
  </si>
  <si>
    <t>Supplier</t>
  </si>
  <si>
    <t>Which supplier has the highest average lead time?</t>
  </si>
  <si>
    <t>What is the average shipping time for each carrier?</t>
  </si>
  <si>
    <t>Which transportation mode is used most frequently?</t>
  </si>
  <si>
    <t>What is the average cost per route?</t>
  </si>
  <si>
    <t>Defect Rate</t>
  </si>
  <si>
    <t>Orders</t>
  </si>
  <si>
    <t>Route</t>
  </si>
  <si>
    <t>Shipping time</t>
  </si>
  <si>
    <t>Customer category</t>
  </si>
  <si>
    <t>What is the relationship between product price and generated revenue?</t>
  </si>
  <si>
    <t>Sum of Price</t>
  </si>
  <si>
    <t>All</t>
  </si>
  <si>
    <t xml:space="preserve"> </t>
  </si>
  <si>
    <t>Product Type</t>
  </si>
  <si>
    <t>What is the revenue generated by SKU?</t>
  </si>
  <si>
    <t>What are the stock levels by SKU?</t>
  </si>
  <si>
    <t>What are the average defect rates by transportation mode and product type?</t>
  </si>
  <si>
    <t>Column Labels</t>
  </si>
  <si>
    <t>Average Suppliers Lead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</si>
</sst>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5" formatCode="\$#,##0.00;\(\$#,##0.00\);\$#,##0.00"/>
    <numFmt numFmtId="170" formatCode="&quot;$&quot;#,##0"/>
    <numFmt numFmtId="172" formatCode="#,##0,&quot;K&quot;"/>
    <numFmt numFmtId="173" formatCode="#,##0.0,&quot;K&quot;"/>
    <numFmt numFmtId="175" formatCode="&quot;$&quot;#,##0.00,,&quot;M&quot;"/>
    <numFmt numFmtId="176" formatCode="0.0"/>
    <numFmt numFmtId="178" formatCode="_(&quot;$&quot;* #,##0_);_(&quot;$&quot;* \(#,##0\);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B9965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0" fillId="0" borderId="0" xfId="0" applyNumberFormat="1"/>
    <xf numFmtId="44" fontId="0" fillId="0" borderId="0" xfId="1" applyFont="1"/>
    <xf numFmtId="165" fontId="0" fillId="0" borderId="0" xfId="0" applyNumberFormat="1"/>
    <xf numFmtId="1" fontId="0" fillId="0" borderId="0" xfId="0" applyNumberFormat="1"/>
    <xf numFmtId="0" fontId="0" fillId="0" borderId="0" xfId="0" applyAlignment="1">
      <alignment horizontal="center"/>
    </xf>
    <xf numFmtId="0" fontId="0" fillId="0" borderId="0" xfId="0" applyAlignment="1">
      <alignment horizontal="center"/>
    </xf>
    <xf numFmtId="0" fontId="0" fillId="0" borderId="0" xfId="0" pivotButton="1"/>
    <xf numFmtId="0" fontId="0" fillId="0" borderId="0" xfId="0" applyAlignment="1"/>
    <xf numFmtId="0" fontId="0" fillId="0" borderId="0" xfId="0" applyAlignment="1">
      <alignment horizontal="left"/>
    </xf>
    <xf numFmtId="170" fontId="0" fillId="0" borderId="0" xfId="0" applyNumberFormat="1"/>
    <xf numFmtId="0" fontId="0" fillId="2" borderId="0" xfId="0" applyFill="1"/>
    <xf numFmtId="172" fontId="0" fillId="0" borderId="0" xfId="0" applyNumberFormat="1"/>
    <xf numFmtId="173" fontId="0" fillId="0" borderId="0" xfId="0" applyNumberFormat="1"/>
    <xf numFmtId="175" fontId="0" fillId="0" borderId="0" xfId="0" applyNumberFormat="1"/>
    <xf numFmtId="176" fontId="0" fillId="0" borderId="0" xfId="0" applyNumberFormat="1"/>
    <xf numFmtId="178" fontId="0" fillId="0" borderId="0" xfId="1" applyNumberFormat="1" applyFont="1"/>
  </cellXfs>
  <cellStyles count="2">
    <cellStyle name="Currency" xfId="1" builtinId="4"/>
    <cellStyle name="Normal" xfId="0" builtinId="0"/>
  </cellStyles>
  <dxfs count="16">
    <dxf>
      <font>
        <sz val="18"/>
        <color theme="0" tint="-0.34998626667073579"/>
        <name val="Aptos SemiBold"/>
        <family val="2"/>
        <scheme val="none"/>
      </font>
      <border diagonalUp="0" diagonalDown="0">
        <left/>
        <right/>
        <top/>
        <bottom/>
        <vertical/>
        <horizontal/>
      </border>
    </dxf>
    <dxf>
      <font>
        <sz val="18"/>
        <color theme="0" tint="-0.24994659260841701"/>
        <name val="Aptos Narrow"/>
        <family val="2"/>
        <scheme val="minor"/>
      </font>
      <fill>
        <patternFill>
          <bgColor rgb="FF0A0A0A"/>
        </patternFill>
      </fill>
      <border diagonalUp="0" diagonalDown="0">
        <left/>
        <right/>
        <top/>
        <bottom/>
        <vertical/>
        <horizontal/>
      </border>
    </dxf>
    <dxf>
      <numFmt numFmtId="178" formatCode="_(&quot;$&quot;* #,##0_);_(&quot;$&quot;* \(#,##0\);_(&quot;$&quot;* &quot;-&quot;??_);_(@_)"/>
    </dxf>
    <dxf>
      <numFmt numFmtId="0" formatCode="General"/>
    </dxf>
    <dxf>
      <font>
        <b val="0"/>
        <i val="0"/>
        <strike val="0"/>
        <condense val="0"/>
        <extend val="0"/>
        <outline val="0"/>
        <shadow val="0"/>
        <u val="none"/>
        <vertAlign val="baseline"/>
        <sz val="11"/>
        <color theme="1"/>
        <name val="Aptos Narrow"/>
        <family val="2"/>
        <scheme val="minor"/>
      </font>
      <numFmt numFmtId="178" formatCode="_(&quot;$&quot;* #,##0_);_(&quot;$&quot;* \(#,##0\);_(&quot;$&quot;* &quot;-&quot;??_);_(@_)"/>
    </dxf>
    <dxf>
      <numFmt numFmtId="0" formatCode="General"/>
    </dxf>
    <dxf>
      <font>
        <b val="0"/>
        <i val="0"/>
        <strike val="0"/>
        <condense val="0"/>
        <extend val="0"/>
        <outline val="0"/>
        <shadow val="0"/>
        <u val="none"/>
        <vertAlign val="baseline"/>
        <sz val="11"/>
        <color theme="1"/>
        <name val="Aptos Narrow"/>
        <family val="2"/>
        <scheme val="minor"/>
      </font>
      <numFmt numFmtId="178" formatCode="_(&quot;$&quot;* #,##0_);_(&quot;$&quot;* \(#,##0\);_(&quot;$&quot;* &quot;-&quot;??_);_(@_)"/>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s>
  <tableStyles count="1" defaultTableStyle="TableStyleMedium2" defaultPivotStyle="PivotStyleLight16">
    <tableStyle name="Supply" pivot="0" table="0" count="10" xr9:uid="{FDF169F4-6DD9-475A-A156-7A72568CA932}">
      <tableStyleElement type="wholeTable" dxfId="1"/>
      <tableStyleElement type="headerRow" dxfId="0"/>
    </tableStyle>
  </tableStyles>
  <colors>
    <mruColors>
      <color rgb="FF33290B"/>
      <color rgb="FFB99653"/>
      <color rgb="FF0A0A0A"/>
      <color rgb="FFD4AF37"/>
      <color rgb="FFB76E7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theme="1"/>
            <name val="Aptos SemiBold"/>
            <family val="2"/>
            <scheme val="none"/>
          </font>
          <fill>
            <patternFill patternType="solid">
              <fgColor auto="1"/>
              <bgColor rgb="FFB99653"/>
            </patternFill>
          </fill>
          <border>
            <left style="thin">
              <color rgb="FF999999"/>
            </left>
            <right style="thin">
              <color rgb="FF999999"/>
            </right>
            <top style="thin">
              <color rgb="FF999999"/>
            </top>
            <bottom style="thin">
              <color rgb="FF999999"/>
            </bottom>
            <vertical/>
            <horizontal/>
          </border>
        </dxf>
        <dxf>
          <font>
            <sz val="16"/>
            <color rgb="FF000000"/>
            <name val="Aptos SemiBold"/>
            <family val="2"/>
            <scheme val="none"/>
          </font>
          <fill>
            <patternFill patternType="solid">
              <fgColor auto="1"/>
              <bgColor rgb="FFB9965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6"/>
            <color rgb="FF0A0A0A"/>
            <name val="Aptos SemiBold"/>
            <family val="2"/>
            <scheme val="none"/>
          </font>
          <fill>
            <patternFill patternType="solid">
              <fgColor theme="4" tint="0.59999389629810485"/>
              <bgColor rgb="FFB9965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rgb="FF33290B"/>
            <name val="Aptos SemiBold"/>
            <family val="2"/>
            <scheme val="none"/>
          </font>
          <fill>
            <patternFill patternType="solid">
              <fgColor rgb="FFFFFFFF"/>
              <bgColor theme="0"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uppl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9653"/>
          </a:solidFill>
          <a:ln w="25400" cap="flat">
            <a:solidFill>
              <a:srgbClr val="D4AF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rgbClr val="B99653"/>
            </a:solidFill>
            <a:ln w="25400" cap="flat">
              <a:solidFill>
                <a:srgbClr val="D4AF3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Analysis!$A$8:$A$11</c:f>
              <c:strCache>
                <c:ptCount val="3"/>
                <c:pt idx="0">
                  <c:v>Carrier A</c:v>
                </c:pt>
                <c:pt idx="1">
                  <c:v>Carrier B</c:v>
                </c:pt>
                <c:pt idx="2">
                  <c:v>Carrier C</c:v>
                </c:pt>
              </c:strCache>
            </c:strRef>
          </c:cat>
          <c:val>
            <c:numRef>
              <c:f>Analysis!$B$8:$B$11</c:f>
              <c:numCache>
                <c:formatCode>\$#,##0.00;\(\$#,##0.00\);\$#,##0.00</c:formatCode>
                <c:ptCount val="3"/>
                <c:pt idx="0">
                  <c:v>641582.08440000005</c:v>
                </c:pt>
                <c:pt idx="1">
                  <c:v>1047593.8941</c:v>
                </c:pt>
                <c:pt idx="2">
                  <c:v>596373.755</c:v>
                </c:pt>
              </c:numCache>
            </c:numRef>
          </c:val>
          <c:extLst>
            <c:ext xmlns:c16="http://schemas.microsoft.com/office/drawing/2014/chart" uri="{C3380CC4-5D6E-409C-BE32-E72D297353CC}">
              <c16:uniqueId val="{00000000-FE57-478B-AB3C-39CA6AF90550}"/>
            </c:ext>
          </c:extLst>
        </c:ser>
        <c:dLbls>
          <c:dLblPos val="outEnd"/>
          <c:showLegendKey val="0"/>
          <c:showVal val="1"/>
          <c:showCatName val="0"/>
          <c:showSerName val="0"/>
          <c:showPercent val="0"/>
          <c:showBubbleSize val="0"/>
        </c:dLbls>
        <c:gapWidth val="80"/>
        <c:overlap val="-27"/>
        <c:axId val="1986120656"/>
        <c:axId val="1986123056"/>
      </c:barChart>
      <c:catAx>
        <c:axId val="1986120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bg1">
                    <a:lumMod val="95000"/>
                  </a:schemeClr>
                </a:solidFill>
                <a:latin typeface="Aptos SemiBold" panose="020B0004020202020204" pitchFamily="34" charset="0"/>
                <a:ea typeface="+mn-ea"/>
                <a:cs typeface="+mn-cs"/>
              </a:defRPr>
            </a:pPr>
            <a:endParaRPr lang="en-US"/>
          </a:p>
        </c:txPr>
        <c:crossAx val="1986123056"/>
        <c:crosses val="autoZero"/>
        <c:auto val="1"/>
        <c:lblAlgn val="ctr"/>
        <c:lblOffset val="100"/>
        <c:noMultiLvlLbl val="0"/>
      </c:catAx>
      <c:valAx>
        <c:axId val="1986123056"/>
        <c:scaling>
          <c:orientation val="minMax"/>
        </c:scaling>
        <c:delete val="1"/>
        <c:axPos val="l"/>
        <c:numFmt formatCode="\$#,##0.00;\(\$#,##0.00\);\$#,##0.00" sourceLinked="1"/>
        <c:majorTickMark val="none"/>
        <c:minorTickMark val="none"/>
        <c:tickLblPos val="nextTo"/>
        <c:crossAx val="19861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9653"/>
          </a:solidFill>
          <a:ln w="25400">
            <a:solidFill>
              <a:srgbClr val="D4AF37"/>
            </a:solidFill>
          </a:ln>
          <a:effectLst/>
        </c:spPr>
        <c:marker>
          <c:symbol val="none"/>
        </c:marker>
        <c:dLbl>
          <c:idx val="0"/>
          <c:spPr>
            <a:noFill/>
            <a:ln>
              <a:noFill/>
            </a:ln>
            <a:effectLst/>
          </c:spPr>
          <c:txPr>
            <a:bodyPr rot="0" spcFirstLastPara="1" vertOverflow="ellipsis" vert="horz" wrap="square" anchor="ctr" anchorCtr="1"/>
            <a:lstStyle/>
            <a:p>
              <a:pPr>
                <a:defRPr lang="en-US" sz="15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Analysis!$E$7</c:f>
              <c:strCache>
                <c:ptCount val="1"/>
                <c:pt idx="0">
                  <c:v>Total</c:v>
                </c:pt>
              </c:strCache>
            </c:strRef>
          </c:tx>
          <c:spPr>
            <a:solidFill>
              <a:srgbClr val="B99653"/>
            </a:solidFill>
            <a:ln w="25400">
              <a:solidFill>
                <a:srgbClr val="D4AF37"/>
              </a:solidFill>
            </a:ln>
            <a:effectLst/>
          </c:spPr>
          <c:invertIfNegative val="0"/>
          <c:dLbls>
            <c:spPr>
              <a:noFill/>
              <a:ln>
                <a:noFill/>
              </a:ln>
              <a:effectLst/>
            </c:spPr>
            <c:txPr>
              <a:bodyPr rot="0" spcFirstLastPara="1" vertOverflow="ellipsis" vert="horz" wrap="square" anchor="ctr" anchorCtr="1"/>
              <a:lstStyle/>
              <a:p>
                <a:pPr>
                  <a:defRPr lang="en-US" sz="15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Analysis!$D$8:$D$11</c:f>
              <c:strCache>
                <c:ptCount val="3"/>
                <c:pt idx="0">
                  <c:v>Carrier A</c:v>
                </c:pt>
                <c:pt idx="1">
                  <c:v>Carrier B</c:v>
                </c:pt>
                <c:pt idx="2">
                  <c:v>Carrier C</c:v>
                </c:pt>
              </c:strCache>
            </c:strRef>
          </c:cat>
          <c:val>
            <c:numRef>
              <c:f>Analysis!$E$8:$E$11</c:f>
              <c:numCache>
                <c:formatCode>\$#,##0.00;\(\$#,##0.00\);\$#,##0.00</c:formatCode>
                <c:ptCount val="3"/>
                <c:pt idx="0">
                  <c:v>155.5377</c:v>
                </c:pt>
                <c:pt idx="1">
                  <c:v>236.89750000000001</c:v>
                </c:pt>
                <c:pt idx="2">
                  <c:v>162.3794</c:v>
                </c:pt>
              </c:numCache>
            </c:numRef>
          </c:val>
          <c:extLst>
            <c:ext xmlns:c16="http://schemas.microsoft.com/office/drawing/2014/chart" uri="{C3380CC4-5D6E-409C-BE32-E72D297353CC}">
              <c16:uniqueId val="{00000000-ECEA-487E-A745-CF2D9FE5E39B}"/>
            </c:ext>
          </c:extLst>
        </c:ser>
        <c:dLbls>
          <c:dLblPos val="outEnd"/>
          <c:showLegendKey val="0"/>
          <c:showVal val="1"/>
          <c:showCatName val="0"/>
          <c:showSerName val="0"/>
          <c:showPercent val="0"/>
          <c:showBubbleSize val="0"/>
        </c:dLbls>
        <c:gapWidth val="80"/>
        <c:overlap val="-16"/>
        <c:axId val="1574209408"/>
        <c:axId val="1574209888"/>
      </c:barChart>
      <c:catAx>
        <c:axId val="15742094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500" b="0" i="0" u="none" strike="noStrike" kern="1200" baseline="0">
                <a:solidFill>
                  <a:schemeClr val="bg1"/>
                </a:solidFill>
                <a:latin typeface="Aptos SemiBold" panose="020B0004020202020204" pitchFamily="34" charset="0"/>
                <a:ea typeface="+mn-ea"/>
                <a:cs typeface="+mn-cs"/>
              </a:defRPr>
            </a:pPr>
            <a:endParaRPr lang="en-US"/>
          </a:p>
        </c:txPr>
        <c:crossAx val="1574209888"/>
        <c:crosses val="autoZero"/>
        <c:auto val="1"/>
        <c:lblAlgn val="ctr"/>
        <c:lblOffset val="100"/>
        <c:noMultiLvlLbl val="0"/>
      </c:catAx>
      <c:valAx>
        <c:axId val="1574209888"/>
        <c:scaling>
          <c:orientation val="minMax"/>
        </c:scaling>
        <c:delete val="1"/>
        <c:axPos val="l"/>
        <c:numFmt formatCode="\$#,##0.00;\(\$#,##0.00\);\$#,##0.00" sourceLinked="1"/>
        <c:majorTickMark val="none"/>
        <c:minorTickMark val="none"/>
        <c:tickLblPos val="nextTo"/>
        <c:crossAx val="157420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99653"/>
          </a:solidFill>
          <a:ln w="25400">
            <a:solidFill>
              <a:srgbClr val="D4AF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c:f>
              <c:strCache>
                <c:ptCount val="1"/>
                <c:pt idx="0">
                  <c:v>Total</c:v>
                </c:pt>
              </c:strCache>
            </c:strRef>
          </c:tx>
          <c:spPr>
            <a:solidFill>
              <a:srgbClr val="B99653"/>
            </a:solidFill>
            <a:ln w="25400">
              <a:solidFill>
                <a:srgbClr val="D4AF3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Analysis!$A$16:$A$20</c:f>
              <c:strCache>
                <c:ptCount val="4"/>
                <c:pt idx="0">
                  <c:v>Air</c:v>
                </c:pt>
                <c:pt idx="1">
                  <c:v>Rail</c:v>
                </c:pt>
                <c:pt idx="2">
                  <c:v>Road</c:v>
                </c:pt>
                <c:pt idx="3">
                  <c:v>Sea</c:v>
                </c:pt>
              </c:strCache>
            </c:strRef>
          </c:cat>
          <c:val>
            <c:numRef>
              <c:f>Analysis!$B$16:$B$20</c:f>
              <c:numCache>
                <c:formatCode>"$"#,##0</c:formatCode>
                <c:ptCount val="4"/>
                <c:pt idx="0">
                  <c:v>14604.527497613781</c:v>
                </c:pt>
                <c:pt idx="1">
                  <c:v>15168.931558531685</c:v>
                </c:pt>
                <c:pt idx="2">
                  <c:v>16048.193639194964</c:v>
                </c:pt>
                <c:pt idx="3">
                  <c:v>7102.9255204736792</c:v>
                </c:pt>
              </c:numCache>
            </c:numRef>
          </c:val>
          <c:extLst>
            <c:ext xmlns:c16="http://schemas.microsoft.com/office/drawing/2014/chart" uri="{C3380CC4-5D6E-409C-BE32-E72D297353CC}">
              <c16:uniqueId val="{00000000-BF78-445C-9F21-798F9A1C37B7}"/>
            </c:ext>
          </c:extLst>
        </c:ser>
        <c:dLbls>
          <c:dLblPos val="outEnd"/>
          <c:showLegendKey val="0"/>
          <c:showVal val="1"/>
          <c:showCatName val="0"/>
          <c:showSerName val="0"/>
          <c:showPercent val="0"/>
          <c:showBubbleSize val="0"/>
        </c:dLbls>
        <c:gapWidth val="80"/>
        <c:overlap val="-27"/>
        <c:axId val="29545904"/>
        <c:axId val="29542544"/>
      </c:barChart>
      <c:catAx>
        <c:axId val="295459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bg1"/>
                </a:solidFill>
                <a:latin typeface="Aptos SemiBold" panose="020B0004020202020204" pitchFamily="34" charset="0"/>
                <a:ea typeface="+mn-ea"/>
                <a:cs typeface="+mn-cs"/>
              </a:defRPr>
            </a:pPr>
            <a:endParaRPr lang="en-US"/>
          </a:p>
        </c:txPr>
        <c:crossAx val="29542544"/>
        <c:crosses val="autoZero"/>
        <c:auto val="1"/>
        <c:lblAlgn val="ctr"/>
        <c:lblOffset val="100"/>
        <c:noMultiLvlLbl val="0"/>
      </c:catAx>
      <c:valAx>
        <c:axId val="29542544"/>
        <c:scaling>
          <c:orientation val="minMax"/>
        </c:scaling>
        <c:delete val="1"/>
        <c:axPos val="l"/>
        <c:numFmt formatCode="&quot;$&quot;#,##0" sourceLinked="1"/>
        <c:majorTickMark val="none"/>
        <c:minorTickMark val="none"/>
        <c:tickLblPos val="nextTo"/>
        <c:crossAx val="2954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Analysis.xlsx]Analysis!PivotTable22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4AF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99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329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Analysis!$H$25:$H$26</c:f>
              <c:strCache>
                <c:ptCount val="1"/>
                <c:pt idx="0">
                  <c:v>Air</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Analysis!$G$27:$G$30</c:f>
              <c:strCache>
                <c:ptCount val="3"/>
                <c:pt idx="0">
                  <c:v>Cosmetics</c:v>
                </c:pt>
                <c:pt idx="1">
                  <c:v>Haircare</c:v>
                </c:pt>
                <c:pt idx="2">
                  <c:v>Skincare</c:v>
                </c:pt>
              </c:strCache>
            </c:strRef>
          </c:cat>
          <c:val>
            <c:numRef>
              <c:f>Analysis!$H$27:$H$30</c:f>
              <c:numCache>
                <c:formatCode>0.0</c:formatCode>
                <c:ptCount val="3"/>
                <c:pt idx="0">
                  <c:v>0.39938126329463874</c:v>
                </c:pt>
                <c:pt idx="1">
                  <c:v>2.9247087934532461</c:v>
                </c:pt>
                <c:pt idx="2">
                  <c:v>1.6944181172651178</c:v>
                </c:pt>
              </c:numCache>
            </c:numRef>
          </c:val>
          <c:extLst>
            <c:ext xmlns:c16="http://schemas.microsoft.com/office/drawing/2014/chart" uri="{C3380CC4-5D6E-409C-BE32-E72D297353CC}">
              <c16:uniqueId val="{00000000-E935-4E8F-B927-152C8849E5DD}"/>
            </c:ext>
          </c:extLst>
        </c:ser>
        <c:ser>
          <c:idx val="1"/>
          <c:order val="1"/>
          <c:tx>
            <c:strRef>
              <c:f>Analysis!$I$25:$I$26</c:f>
              <c:strCache>
                <c:ptCount val="1"/>
                <c:pt idx="0">
                  <c:v>Rail</c:v>
                </c:pt>
              </c:strCache>
            </c:strRef>
          </c:tx>
          <c:spPr>
            <a:solidFill>
              <a:srgbClr val="D4AF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Analysis!$G$27:$G$30</c:f>
              <c:strCache>
                <c:ptCount val="3"/>
                <c:pt idx="0">
                  <c:v>Cosmetics</c:v>
                </c:pt>
                <c:pt idx="1">
                  <c:v>Haircare</c:v>
                </c:pt>
                <c:pt idx="2">
                  <c:v>Skincare</c:v>
                </c:pt>
              </c:strCache>
            </c:strRef>
          </c:cat>
          <c:val>
            <c:numRef>
              <c:f>Analysis!$I$27:$I$30</c:f>
              <c:numCache>
                <c:formatCode>0.0</c:formatCode>
                <c:ptCount val="3"/>
                <c:pt idx="0">
                  <c:v>2.1588410218392475</c:v>
                </c:pt>
                <c:pt idx="1">
                  <c:v>1.95931796530678</c:v>
                </c:pt>
                <c:pt idx="2">
                  <c:v>2.8782267320882116</c:v>
                </c:pt>
              </c:numCache>
            </c:numRef>
          </c:val>
          <c:extLst>
            <c:ext xmlns:c16="http://schemas.microsoft.com/office/drawing/2014/chart" uri="{C3380CC4-5D6E-409C-BE32-E72D297353CC}">
              <c16:uniqueId val="{00000001-E935-4E8F-B927-152C8849E5DD}"/>
            </c:ext>
          </c:extLst>
        </c:ser>
        <c:ser>
          <c:idx val="2"/>
          <c:order val="2"/>
          <c:tx>
            <c:strRef>
              <c:f>Analysis!$J$25:$J$26</c:f>
              <c:strCache>
                <c:ptCount val="1"/>
                <c:pt idx="0">
                  <c:v>Road</c:v>
                </c:pt>
              </c:strCache>
            </c:strRef>
          </c:tx>
          <c:spPr>
            <a:solidFill>
              <a:srgbClr val="B996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Analysis!$G$27:$G$30</c:f>
              <c:strCache>
                <c:ptCount val="3"/>
                <c:pt idx="0">
                  <c:v>Cosmetics</c:v>
                </c:pt>
                <c:pt idx="1">
                  <c:v>Haircare</c:v>
                </c:pt>
                <c:pt idx="2">
                  <c:v>Skincare</c:v>
                </c:pt>
              </c:strCache>
            </c:strRef>
          </c:cat>
          <c:val>
            <c:numRef>
              <c:f>Analysis!$J$27:$J$30</c:f>
              <c:numCache>
                <c:formatCode>0.0</c:formatCode>
                <c:ptCount val="3"/>
                <c:pt idx="0">
                  <c:v>2.7036749128426174</c:v>
                </c:pt>
                <c:pt idx="1">
                  <c:v>2.2387315556923406</c:v>
                </c:pt>
                <c:pt idx="2">
                  <c:v>2.9927625004564287</c:v>
                </c:pt>
              </c:numCache>
            </c:numRef>
          </c:val>
          <c:extLst>
            <c:ext xmlns:c16="http://schemas.microsoft.com/office/drawing/2014/chart" uri="{C3380CC4-5D6E-409C-BE32-E72D297353CC}">
              <c16:uniqueId val="{00000002-E935-4E8F-B927-152C8849E5DD}"/>
            </c:ext>
          </c:extLst>
        </c:ser>
        <c:ser>
          <c:idx val="3"/>
          <c:order val="3"/>
          <c:tx>
            <c:strRef>
              <c:f>Analysis!$K$25:$K$26</c:f>
              <c:strCache>
                <c:ptCount val="1"/>
                <c:pt idx="0">
                  <c:v>Sea</c:v>
                </c:pt>
              </c:strCache>
            </c:strRef>
          </c:tx>
          <c:spPr>
            <a:solidFill>
              <a:srgbClr val="3329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Analysis!$G$27:$G$30</c:f>
              <c:strCache>
                <c:ptCount val="3"/>
                <c:pt idx="0">
                  <c:v>Cosmetics</c:v>
                </c:pt>
                <c:pt idx="1">
                  <c:v>Haircare</c:v>
                </c:pt>
                <c:pt idx="2">
                  <c:v>Skincare</c:v>
                </c:pt>
              </c:strCache>
            </c:strRef>
          </c:cat>
          <c:val>
            <c:numRef>
              <c:f>Analysis!$K$27:$K$30</c:f>
              <c:numCache>
                <c:formatCode>0.0</c:formatCode>
                <c:ptCount val="3"/>
                <c:pt idx="0">
                  <c:v>2.0421560742053573</c:v>
                </c:pt>
                <c:pt idx="1">
                  <c:v>3.6428694726088438</c:v>
                </c:pt>
                <c:pt idx="2">
                  <c:v>1.7907668087069055</c:v>
                </c:pt>
              </c:numCache>
            </c:numRef>
          </c:val>
          <c:extLst>
            <c:ext xmlns:c16="http://schemas.microsoft.com/office/drawing/2014/chart" uri="{C3380CC4-5D6E-409C-BE32-E72D297353CC}">
              <c16:uniqueId val="{00000003-E935-4E8F-B927-152C8849E5DD}"/>
            </c:ext>
          </c:extLst>
        </c:ser>
        <c:dLbls>
          <c:dLblPos val="outEnd"/>
          <c:showLegendKey val="0"/>
          <c:showVal val="1"/>
          <c:showCatName val="0"/>
          <c:showSerName val="0"/>
          <c:showPercent val="0"/>
          <c:showBubbleSize val="0"/>
        </c:dLbls>
        <c:gapWidth val="70"/>
        <c:overlap val="-12"/>
        <c:axId val="2010123008"/>
        <c:axId val="2010129248"/>
      </c:barChart>
      <c:catAx>
        <c:axId val="20101230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bg1"/>
                </a:solidFill>
                <a:latin typeface="Aptos SemiBold" panose="020B0004020202020204" pitchFamily="34" charset="0"/>
                <a:ea typeface="+mn-ea"/>
                <a:cs typeface="+mn-cs"/>
              </a:defRPr>
            </a:pPr>
            <a:endParaRPr lang="en-US"/>
          </a:p>
        </c:txPr>
        <c:crossAx val="2010129248"/>
        <c:crosses val="autoZero"/>
        <c:auto val="1"/>
        <c:lblAlgn val="ctr"/>
        <c:lblOffset val="100"/>
        <c:noMultiLvlLbl val="0"/>
      </c:catAx>
      <c:valAx>
        <c:axId val="2010129248"/>
        <c:scaling>
          <c:orientation val="minMax"/>
        </c:scaling>
        <c:delete val="1"/>
        <c:axPos val="l"/>
        <c:numFmt formatCode="0.0" sourceLinked="1"/>
        <c:majorTickMark val="none"/>
        <c:minorTickMark val="none"/>
        <c:tickLblPos val="nextTo"/>
        <c:crossAx val="2010123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ptos SemiBold"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9653"/>
          </a:solidFill>
          <a:ln w="25400">
            <a:solidFill>
              <a:srgbClr val="D4AF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44450"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ptos SemiBold"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Analysis!$H$15</c:f>
              <c:strCache>
                <c:ptCount val="1"/>
                <c:pt idx="0">
                  <c:v>Orders</c:v>
                </c:pt>
              </c:strCache>
            </c:strRef>
          </c:tx>
          <c:spPr>
            <a:solidFill>
              <a:srgbClr val="B99653"/>
            </a:solidFill>
            <a:ln w="25400">
              <a:solidFill>
                <a:srgbClr val="D4AF3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Analysis!$G$16:$G$20</c:f>
              <c:strCache>
                <c:ptCount val="4"/>
                <c:pt idx="0">
                  <c:v>Air</c:v>
                </c:pt>
                <c:pt idx="1">
                  <c:v>Rail</c:v>
                </c:pt>
                <c:pt idx="2">
                  <c:v>Road</c:v>
                </c:pt>
                <c:pt idx="3">
                  <c:v>Sea</c:v>
                </c:pt>
              </c:strCache>
            </c:strRef>
          </c:cat>
          <c:val>
            <c:numRef>
              <c:f>Analysis!$H$16:$H$20</c:f>
              <c:numCache>
                <c:formatCode>General</c:formatCode>
                <c:ptCount val="4"/>
                <c:pt idx="0">
                  <c:v>1341</c:v>
                </c:pt>
                <c:pt idx="1">
                  <c:v>1342</c:v>
                </c:pt>
                <c:pt idx="2">
                  <c:v>1386</c:v>
                </c:pt>
                <c:pt idx="3">
                  <c:v>853</c:v>
                </c:pt>
              </c:numCache>
            </c:numRef>
          </c:val>
          <c:extLst>
            <c:ext xmlns:c16="http://schemas.microsoft.com/office/drawing/2014/chart" uri="{C3380CC4-5D6E-409C-BE32-E72D297353CC}">
              <c16:uniqueId val="{00000000-F6D3-491F-929F-132F7C1357BA}"/>
            </c:ext>
          </c:extLst>
        </c:ser>
        <c:dLbls>
          <c:showLegendKey val="0"/>
          <c:showVal val="1"/>
          <c:showCatName val="0"/>
          <c:showSerName val="0"/>
          <c:showPercent val="0"/>
          <c:showBubbleSize val="0"/>
        </c:dLbls>
        <c:gapWidth val="80"/>
        <c:axId val="1719298752"/>
        <c:axId val="1719299232"/>
      </c:barChart>
      <c:lineChart>
        <c:grouping val="standard"/>
        <c:varyColors val="0"/>
        <c:ser>
          <c:idx val="1"/>
          <c:order val="1"/>
          <c:tx>
            <c:strRef>
              <c:f>Analysis!$I$15</c:f>
              <c:strCache>
                <c:ptCount val="1"/>
                <c:pt idx="0">
                  <c:v>Average Suppliers Lead times</c:v>
                </c:pt>
              </c:strCache>
            </c:strRef>
          </c:tx>
          <c:spPr>
            <a:ln w="44450" cap="rnd">
              <a:solidFill>
                <a:schemeClr val="bg1">
                  <a:lumMod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ptos SemiBold"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Analysis!$G$16:$G$20</c:f>
              <c:strCache>
                <c:ptCount val="4"/>
                <c:pt idx="0">
                  <c:v>Air</c:v>
                </c:pt>
                <c:pt idx="1">
                  <c:v>Rail</c:v>
                </c:pt>
                <c:pt idx="2">
                  <c:v>Road</c:v>
                </c:pt>
                <c:pt idx="3">
                  <c:v>Sea</c:v>
                </c:pt>
              </c:strCache>
            </c:strRef>
          </c:cat>
          <c:val>
            <c:numRef>
              <c:f>Analysis!$I$16:$I$20</c:f>
              <c:numCache>
                <c:formatCode>0</c:formatCode>
                <c:ptCount val="4"/>
                <c:pt idx="0">
                  <c:v>18.26923076923077</c:v>
                </c:pt>
                <c:pt idx="1">
                  <c:v>14.892857142857142</c:v>
                </c:pt>
                <c:pt idx="2">
                  <c:v>17.137931034482758</c:v>
                </c:pt>
                <c:pt idx="3">
                  <c:v>12.176470588235293</c:v>
                </c:pt>
              </c:numCache>
            </c:numRef>
          </c:val>
          <c:smooth val="0"/>
          <c:extLst>
            <c:ext xmlns:c16="http://schemas.microsoft.com/office/drawing/2014/chart" uri="{C3380CC4-5D6E-409C-BE32-E72D297353CC}">
              <c16:uniqueId val="{00000001-F6D3-491F-929F-132F7C1357BA}"/>
            </c:ext>
          </c:extLst>
        </c:ser>
        <c:dLbls>
          <c:showLegendKey val="0"/>
          <c:showVal val="1"/>
          <c:showCatName val="0"/>
          <c:showSerName val="0"/>
          <c:showPercent val="0"/>
          <c:showBubbleSize val="0"/>
        </c:dLbls>
        <c:marker val="1"/>
        <c:smooth val="0"/>
        <c:axId val="2012221744"/>
        <c:axId val="2012223184"/>
      </c:lineChart>
      <c:catAx>
        <c:axId val="17192987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bg1"/>
                </a:solidFill>
                <a:latin typeface="Aptos SemiBold" panose="020B0004020202020204" pitchFamily="34" charset="0"/>
                <a:ea typeface="+mn-ea"/>
                <a:cs typeface="+mn-cs"/>
              </a:defRPr>
            </a:pPr>
            <a:endParaRPr lang="en-US"/>
          </a:p>
        </c:txPr>
        <c:crossAx val="1719299232"/>
        <c:crosses val="autoZero"/>
        <c:auto val="1"/>
        <c:lblAlgn val="ctr"/>
        <c:lblOffset val="100"/>
        <c:noMultiLvlLbl val="0"/>
      </c:catAx>
      <c:valAx>
        <c:axId val="1719299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bg1"/>
                </a:solidFill>
                <a:latin typeface="Aptos SemiBold" panose="020B0004020202020204" pitchFamily="34" charset="0"/>
                <a:ea typeface="+mn-ea"/>
                <a:cs typeface="+mn-cs"/>
              </a:defRPr>
            </a:pPr>
            <a:endParaRPr lang="en-US"/>
          </a:p>
        </c:txPr>
        <c:crossAx val="1719298752"/>
        <c:crosses val="autoZero"/>
        <c:crossBetween val="between"/>
      </c:valAx>
      <c:valAx>
        <c:axId val="20122231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bg1"/>
                </a:solidFill>
                <a:latin typeface="Aptos SemiBold" panose="020B0004020202020204" pitchFamily="34" charset="0"/>
                <a:ea typeface="+mn-ea"/>
                <a:cs typeface="+mn-cs"/>
              </a:defRPr>
            </a:pPr>
            <a:endParaRPr lang="en-US"/>
          </a:p>
        </c:txPr>
        <c:crossAx val="2012221744"/>
        <c:crosses val="max"/>
        <c:crossBetween val="between"/>
      </c:valAx>
      <c:catAx>
        <c:axId val="2012221744"/>
        <c:scaling>
          <c:orientation val="minMax"/>
        </c:scaling>
        <c:delete val="1"/>
        <c:axPos val="b"/>
        <c:numFmt formatCode="General" sourceLinked="1"/>
        <c:majorTickMark val="out"/>
        <c:minorTickMark val="none"/>
        <c:tickLblPos val="nextTo"/>
        <c:crossAx val="2012223184"/>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Aptos SemiBold"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'Supply Chain'!$A$2:$A$101</c:f>
              <c:strCache>
                <c:ptCount val="100"/>
                <c:pt idx="0">
                  <c:v> Haircare </c:v>
                </c:pt>
                <c:pt idx="1">
                  <c:v> Skincare </c:v>
                </c:pt>
                <c:pt idx="2">
                  <c:v> Haircare </c:v>
                </c:pt>
                <c:pt idx="3">
                  <c:v> Skincare </c:v>
                </c:pt>
                <c:pt idx="4">
                  <c:v> Skincare </c:v>
                </c:pt>
                <c:pt idx="5">
                  <c:v> Haircare </c:v>
                </c:pt>
                <c:pt idx="6">
                  <c:v> Skincare </c:v>
                </c:pt>
                <c:pt idx="7">
                  <c:v> Cosmetics </c:v>
                </c:pt>
                <c:pt idx="8">
                  <c:v> Cosmetics </c:v>
                </c:pt>
                <c:pt idx="9">
                  <c:v> Skincare </c:v>
                </c:pt>
                <c:pt idx="10">
                  <c:v> Skincare </c:v>
                </c:pt>
                <c:pt idx="11">
                  <c:v> Skincare </c:v>
                </c:pt>
                <c:pt idx="12">
                  <c:v> Haircare </c:v>
                </c:pt>
                <c:pt idx="13">
                  <c:v> Skincare </c:v>
                </c:pt>
                <c:pt idx="14">
                  <c:v> Skincare </c:v>
                </c:pt>
                <c:pt idx="15">
                  <c:v> Skincare </c:v>
                </c:pt>
                <c:pt idx="16">
                  <c:v> Skincare </c:v>
                </c:pt>
                <c:pt idx="17">
                  <c:v> Cosmetics </c:v>
                </c:pt>
                <c:pt idx="18">
                  <c:v> Haircare </c:v>
                </c:pt>
                <c:pt idx="19">
                  <c:v> Skincare </c:v>
                </c:pt>
                <c:pt idx="20">
                  <c:v> Skincare </c:v>
                </c:pt>
                <c:pt idx="21">
                  <c:v> Cosmetics </c:v>
                </c:pt>
                <c:pt idx="22">
                  <c:v> Haircare </c:v>
                </c:pt>
                <c:pt idx="23">
                  <c:v> Cosmetics </c:v>
                </c:pt>
                <c:pt idx="24">
                  <c:v> Haircare </c:v>
                </c:pt>
                <c:pt idx="25">
                  <c:v> Haircare </c:v>
                </c:pt>
                <c:pt idx="26">
                  <c:v> Haircare </c:v>
                </c:pt>
                <c:pt idx="27">
                  <c:v> Cosmetics </c:v>
                </c:pt>
                <c:pt idx="28">
                  <c:v> Cosmetics </c:v>
                </c:pt>
                <c:pt idx="29">
                  <c:v> Cosmetics </c:v>
                </c:pt>
                <c:pt idx="30">
                  <c:v> Haircare </c:v>
                </c:pt>
                <c:pt idx="31">
                  <c:v> Skincare </c:v>
                </c:pt>
                <c:pt idx="32">
                  <c:v> Skincare </c:v>
                </c:pt>
                <c:pt idx="33">
                  <c:v> Cosmetics </c:v>
                </c:pt>
                <c:pt idx="34">
                  <c:v> Skincare </c:v>
                </c:pt>
                <c:pt idx="35">
                  <c:v> Cosmetics </c:v>
                </c:pt>
                <c:pt idx="36">
                  <c:v> Skincare </c:v>
                </c:pt>
                <c:pt idx="37">
                  <c:v> Skincare </c:v>
                </c:pt>
                <c:pt idx="38">
                  <c:v> Cosmetics </c:v>
                </c:pt>
                <c:pt idx="39">
                  <c:v> Skincare </c:v>
                </c:pt>
                <c:pt idx="40">
                  <c:v> Skincare </c:v>
                </c:pt>
                <c:pt idx="41">
                  <c:v> Skincare </c:v>
                </c:pt>
                <c:pt idx="42">
                  <c:v> Skincare </c:v>
                </c:pt>
                <c:pt idx="43">
                  <c:v> Haircare </c:v>
                </c:pt>
                <c:pt idx="44">
                  <c:v> Cosmetics </c:v>
                </c:pt>
                <c:pt idx="45">
                  <c:v> Haircare </c:v>
                </c:pt>
                <c:pt idx="46">
                  <c:v> Haircare </c:v>
                </c:pt>
                <c:pt idx="47">
                  <c:v> Skincare </c:v>
                </c:pt>
                <c:pt idx="48">
                  <c:v> Haircare </c:v>
                </c:pt>
                <c:pt idx="49">
                  <c:v> Cosmetics </c:v>
                </c:pt>
                <c:pt idx="50">
                  <c:v> Cosmetics </c:v>
                </c:pt>
                <c:pt idx="51">
                  <c:v> Haircare </c:v>
                </c:pt>
                <c:pt idx="52">
                  <c:v> Skincare </c:v>
                </c:pt>
                <c:pt idx="53">
                  <c:v> Skincare </c:v>
                </c:pt>
                <c:pt idx="54">
                  <c:v> Haircare </c:v>
                </c:pt>
                <c:pt idx="55">
                  <c:v> Haircare </c:v>
                </c:pt>
                <c:pt idx="56">
                  <c:v> Skincare </c:v>
                </c:pt>
                <c:pt idx="57">
                  <c:v> Haircare </c:v>
                </c:pt>
                <c:pt idx="58">
                  <c:v> Skincare </c:v>
                </c:pt>
                <c:pt idx="59">
                  <c:v> Cosmetics </c:v>
                </c:pt>
                <c:pt idx="60">
                  <c:v> Skincare </c:v>
                </c:pt>
                <c:pt idx="61">
                  <c:v> Haircare </c:v>
                </c:pt>
                <c:pt idx="62">
                  <c:v> Cosmetics </c:v>
                </c:pt>
                <c:pt idx="63">
                  <c:v> Skincare </c:v>
                </c:pt>
                <c:pt idx="64">
                  <c:v> Skincare </c:v>
                </c:pt>
                <c:pt idx="65">
                  <c:v> Skincare </c:v>
                </c:pt>
                <c:pt idx="66">
                  <c:v> Skincare </c:v>
                </c:pt>
                <c:pt idx="67">
                  <c:v> Skincare </c:v>
                </c:pt>
                <c:pt idx="68">
                  <c:v> Haircare </c:v>
                </c:pt>
                <c:pt idx="69">
                  <c:v> Skincare </c:v>
                </c:pt>
                <c:pt idx="70">
                  <c:v> Haircare </c:v>
                </c:pt>
                <c:pt idx="71">
                  <c:v> Cosmetics </c:v>
                </c:pt>
                <c:pt idx="72">
                  <c:v> Cosmetics </c:v>
                </c:pt>
                <c:pt idx="73">
                  <c:v> Cosmetics </c:v>
                </c:pt>
                <c:pt idx="74">
                  <c:v> Haircare </c:v>
                </c:pt>
                <c:pt idx="75">
                  <c:v> Skincare </c:v>
                </c:pt>
                <c:pt idx="76">
                  <c:v> Haircare </c:v>
                </c:pt>
                <c:pt idx="77">
                  <c:v> Haircare </c:v>
                </c:pt>
                <c:pt idx="78">
                  <c:v> Haircare </c:v>
                </c:pt>
                <c:pt idx="79">
                  <c:v> Haircare </c:v>
                </c:pt>
                <c:pt idx="80">
                  <c:v> Skincare </c:v>
                </c:pt>
                <c:pt idx="81">
                  <c:v> Haircare </c:v>
                </c:pt>
                <c:pt idx="82">
                  <c:v> Skincare </c:v>
                </c:pt>
                <c:pt idx="83">
                  <c:v> Haircare </c:v>
                </c:pt>
                <c:pt idx="84">
                  <c:v> Haircare </c:v>
                </c:pt>
                <c:pt idx="85">
                  <c:v> Cosmetics </c:v>
                </c:pt>
                <c:pt idx="86">
                  <c:v> Skincare </c:v>
                </c:pt>
                <c:pt idx="87">
                  <c:v> Haircare </c:v>
                </c:pt>
                <c:pt idx="88">
                  <c:v> Cosmetics </c:v>
                </c:pt>
                <c:pt idx="89">
                  <c:v> Cosmetics </c:v>
                </c:pt>
                <c:pt idx="90">
                  <c:v> Skincare </c:v>
                </c:pt>
                <c:pt idx="91">
                  <c:v> Cosmetics </c:v>
                </c:pt>
                <c:pt idx="92">
                  <c:v> Cosmetics </c:v>
                </c:pt>
                <c:pt idx="93">
                  <c:v> Haircare </c:v>
                </c:pt>
                <c:pt idx="94">
                  <c:v> Cosmetics </c:v>
                </c:pt>
                <c:pt idx="95">
                  <c:v> Haircare </c:v>
                </c:pt>
                <c:pt idx="96">
                  <c:v> Cosmetics </c:v>
                </c:pt>
                <c:pt idx="97">
                  <c:v> Haircare </c:v>
                </c:pt>
                <c:pt idx="98">
                  <c:v> Skincare </c:v>
                </c:pt>
                <c:pt idx="99">
                  <c:v> Haircare </c:v>
                </c:pt>
              </c:strCache>
            </c:strRef>
          </c:tx>
          <c:spPr>
            <a:ln w="38100" cap="rnd">
              <a:noFill/>
              <a:round/>
            </a:ln>
            <a:effectLst/>
          </c:spPr>
          <c:marker>
            <c:symbol val="circle"/>
            <c:size val="5"/>
            <c:spPr>
              <a:solidFill>
                <a:srgbClr val="B99653"/>
              </a:solidFill>
              <a:ln w="25400">
                <a:solidFill>
                  <a:srgbClr val="B99653"/>
                </a:solidFill>
              </a:ln>
              <a:effectLst/>
            </c:spPr>
          </c:marker>
          <c:xVal>
            <c:numRef>
              <c:f>'Supply Chain'!$D$2:$D$101</c:f>
              <c:numCache>
                <c:formatCode>_("$"* #,##0_);_("$"* \(#,##0\);_("$"* "-"??_);_(@_)</c:formatCode>
                <c:ptCount val="100"/>
                <c:pt idx="0">
                  <c:v>69.808000000000007</c:v>
                </c:pt>
                <c:pt idx="1">
                  <c:v>14.843500000000001</c:v>
                </c:pt>
                <c:pt idx="2">
                  <c:v>11.319699999999999</c:v>
                </c:pt>
                <c:pt idx="3">
                  <c:v>61.1633</c:v>
                </c:pt>
                <c:pt idx="4">
                  <c:v>4.8055000000000003</c:v>
                </c:pt>
                <c:pt idx="5">
                  <c:v>1.7</c:v>
                </c:pt>
                <c:pt idx="6">
                  <c:v>4.0782999999999996</c:v>
                </c:pt>
                <c:pt idx="7">
                  <c:v>42.958399999999997</c:v>
                </c:pt>
                <c:pt idx="8">
                  <c:v>68.717600000000004</c:v>
                </c:pt>
                <c:pt idx="9">
                  <c:v>64.015699999999995</c:v>
                </c:pt>
                <c:pt idx="10">
                  <c:v>15.707800000000001</c:v>
                </c:pt>
                <c:pt idx="11">
                  <c:v>90.635499999999993</c:v>
                </c:pt>
                <c:pt idx="12">
                  <c:v>71.213399999999993</c:v>
                </c:pt>
                <c:pt idx="13">
                  <c:v>16.160399999999999</c:v>
                </c:pt>
                <c:pt idx="14">
                  <c:v>99.171300000000002</c:v>
                </c:pt>
                <c:pt idx="15">
                  <c:v>36.989199999999997</c:v>
                </c:pt>
                <c:pt idx="16">
                  <c:v>7.5472000000000001</c:v>
                </c:pt>
                <c:pt idx="17">
                  <c:v>81.462500000000006</c:v>
                </c:pt>
                <c:pt idx="18">
                  <c:v>36.443600000000004</c:v>
                </c:pt>
                <c:pt idx="19">
                  <c:v>51.123899999999999</c:v>
                </c:pt>
                <c:pt idx="20">
                  <c:v>96.341099999999997</c:v>
                </c:pt>
                <c:pt idx="21">
                  <c:v>84.893900000000002</c:v>
                </c:pt>
                <c:pt idx="22">
                  <c:v>27.6798</c:v>
                </c:pt>
                <c:pt idx="23">
                  <c:v>4.3243</c:v>
                </c:pt>
                <c:pt idx="24">
                  <c:v>4.1562999999999999</c:v>
                </c:pt>
                <c:pt idx="25">
                  <c:v>39.629300000000001</c:v>
                </c:pt>
                <c:pt idx="26">
                  <c:v>97.446899999999999</c:v>
                </c:pt>
                <c:pt idx="27">
                  <c:v>92.557400000000001</c:v>
                </c:pt>
                <c:pt idx="28">
                  <c:v>2.3973</c:v>
                </c:pt>
                <c:pt idx="29">
                  <c:v>63.447600000000001</c:v>
                </c:pt>
                <c:pt idx="30">
                  <c:v>8.0228999999999999</c:v>
                </c:pt>
                <c:pt idx="31">
                  <c:v>50.8474</c:v>
                </c:pt>
                <c:pt idx="32">
                  <c:v>79.209900000000005</c:v>
                </c:pt>
                <c:pt idx="33">
                  <c:v>64.795400000000001</c:v>
                </c:pt>
                <c:pt idx="34">
                  <c:v>37.467599999999997</c:v>
                </c:pt>
                <c:pt idx="35">
                  <c:v>84.957800000000006</c:v>
                </c:pt>
                <c:pt idx="36">
                  <c:v>9.8130000000000006</c:v>
                </c:pt>
                <c:pt idx="37">
                  <c:v>23.399799999999999</c:v>
                </c:pt>
                <c:pt idx="38">
                  <c:v>52.075899999999997</c:v>
                </c:pt>
                <c:pt idx="39">
                  <c:v>19.127500000000001</c:v>
                </c:pt>
                <c:pt idx="40">
                  <c:v>80.541399999999996</c:v>
                </c:pt>
                <c:pt idx="41">
                  <c:v>99.113299999999995</c:v>
                </c:pt>
                <c:pt idx="42">
                  <c:v>46.529200000000003</c:v>
                </c:pt>
                <c:pt idx="43">
                  <c:v>11.7433</c:v>
                </c:pt>
                <c:pt idx="44">
                  <c:v>51.355800000000002</c:v>
                </c:pt>
                <c:pt idx="45">
                  <c:v>33.784100000000002</c:v>
                </c:pt>
                <c:pt idx="46">
                  <c:v>27.0822</c:v>
                </c:pt>
                <c:pt idx="47">
                  <c:v>95.712100000000007</c:v>
                </c:pt>
                <c:pt idx="48">
                  <c:v>76.035499999999999</c:v>
                </c:pt>
                <c:pt idx="49">
                  <c:v>78.897900000000007</c:v>
                </c:pt>
                <c:pt idx="50">
                  <c:v>14.2035</c:v>
                </c:pt>
                <c:pt idx="51">
                  <c:v>26.700800000000001</c:v>
                </c:pt>
                <c:pt idx="52">
                  <c:v>98.031800000000004</c:v>
                </c:pt>
                <c:pt idx="53">
                  <c:v>30.3415</c:v>
                </c:pt>
                <c:pt idx="54">
                  <c:v>31.1462</c:v>
                </c:pt>
                <c:pt idx="55">
                  <c:v>79.855099999999993</c:v>
                </c:pt>
                <c:pt idx="56">
                  <c:v>20.9864</c:v>
                </c:pt>
                <c:pt idx="57">
                  <c:v>49.263199999999998</c:v>
                </c:pt>
                <c:pt idx="58">
                  <c:v>59.8416</c:v>
                </c:pt>
                <c:pt idx="59">
                  <c:v>63.828400000000002</c:v>
                </c:pt>
                <c:pt idx="60">
                  <c:v>17.027999999999999</c:v>
                </c:pt>
                <c:pt idx="61">
                  <c:v>52.028700000000001</c:v>
                </c:pt>
                <c:pt idx="62">
                  <c:v>72.796400000000006</c:v>
                </c:pt>
                <c:pt idx="63">
                  <c:v>13.0174</c:v>
                </c:pt>
                <c:pt idx="64">
                  <c:v>89.634100000000004</c:v>
                </c:pt>
                <c:pt idx="65">
                  <c:v>33.697699999999998</c:v>
                </c:pt>
                <c:pt idx="66">
                  <c:v>26.0349</c:v>
                </c:pt>
                <c:pt idx="67">
                  <c:v>87.755399999999995</c:v>
                </c:pt>
                <c:pt idx="68">
                  <c:v>37.931800000000003</c:v>
                </c:pt>
                <c:pt idx="69">
                  <c:v>54.865499999999997</c:v>
                </c:pt>
                <c:pt idx="70">
                  <c:v>47.914499999999997</c:v>
                </c:pt>
                <c:pt idx="71">
                  <c:v>6.3815</c:v>
                </c:pt>
                <c:pt idx="72">
                  <c:v>90.204400000000007</c:v>
                </c:pt>
                <c:pt idx="73">
                  <c:v>83.850999999999999</c:v>
                </c:pt>
                <c:pt idx="74">
                  <c:v>3.17</c:v>
                </c:pt>
                <c:pt idx="75">
                  <c:v>92.996899999999997</c:v>
                </c:pt>
                <c:pt idx="76">
                  <c:v>69.108800000000002</c:v>
                </c:pt>
                <c:pt idx="77">
                  <c:v>57.4497</c:v>
                </c:pt>
                <c:pt idx="78">
                  <c:v>6.3068999999999997</c:v>
                </c:pt>
                <c:pt idx="79">
                  <c:v>57.057000000000002</c:v>
                </c:pt>
                <c:pt idx="80">
                  <c:v>91.128299999999996</c:v>
                </c:pt>
                <c:pt idx="81">
                  <c:v>72.819199999999995</c:v>
                </c:pt>
                <c:pt idx="82">
                  <c:v>17.0349</c:v>
                </c:pt>
                <c:pt idx="83">
                  <c:v>68.911199999999994</c:v>
                </c:pt>
                <c:pt idx="84">
                  <c:v>89.104399999999998</c:v>
                </c:pt>
                <c:pt idx="85">
                  <c:v>76.962999999999994</c:v>
                </c:pt>
                <c:pt idx="86">
                  <c:v>19.998200000000001</c:v>
                </c:pt>
                <c:pt idx="87">
                  <c:v>80.414000000000001</c:v>
                </c:pt>
                <c:pt idx="88">
                  <c:v>75.270399999999995</c:v>
                </c:pt>
                <c:pt idx="89">
                  <c:v>97.760099999999994</c:v>
                </c:pt>
                <c:pt idx="90">
                  <c:v>13.8819</c:v>
                </c:pt>
                <c:pt idx="91">
                  <c:v>62.112000000000002</c:v>
                </c:pt>
                <c:pt idx="92">
                  <c:v>47.714199999999998</c:v>
                </c:pt>
                <c:pt idx="93">
                  <c:v>69.290800000000004</c:v>
                </c:pt>
                <c:pt idx="94">
                  <c:v>3.0377000000000001</c:v>
                </c:pt>
                <c:pt idx="95">
                  <c:v>77.903899999999993</c:v>
                </c:pt>
                <c:pt idx="96">
                  <c:v>24.423100000000002</c:v>
                </c:pt>
                <c:pt idx="97">
                  <c:v>3.5261</c:v>
                </c:pt>
                <c:pt idx="98">
                  <c:v>19.7546</c:v>
                </c:pt>
                <c:pt idx="99">
                  <c:v>68.517799999999994</c:v>
                </c:pt>
              </c:numCache>
            </c:numRef>
          </c:xVal>
          <c:yVal>
            <c:numRef>
              <c:f>'Supply Chain'!$F$2:$F$101</c:f>
              <c:numCache>
                <c:formatCode>_("$"* #,##0_);_("$"* \(#,##0\);_("$"* "-"??_);_(@_)</c:formatCode>
                <c:ptCount val="100"/>
                <c:pt idx="0">
                  <c:v>55986.016000000003</c:v>
                </c:pt>
                <c:pt idx="1">
                  <c:v>10924.816000000001</c:v>
                </c:pt>
                <c:pt idx="2">
                  <c:v>90.557599999999994</c:v>
                </c:pt>
                <c:pt idx="3">
                  <c:v>5076.5538999999999</c:v>
                </c:pt>
                <c:pt idx="4">
                  <c:v>4185.5905000000002</c:v>
                </c:pt>
                <c:pt idx="5">
                  <c:v>249.9</c:v>
                </c:pt>
                <c:pt idx="6">
                  <c:v>265.08949999999999</c:v>
                </c:pt>
                <c:pt idx="7">
                  <c:v>18300.278399999999</c:v>
                </c:pt>
                <c:pt idx="8">
                  <c:v>10307.64</c:v>
                </c:pt>
                <c:pt idx="9">
                  <c:v>62735.385999999999</c:v>
                </c:pt>
                <c:pt idx="10">
                  <c:v>15644.968800000001</c:v>
                </c:pt>
                <c:pt idx="11">
                  <c:v>87010.08</c:v>
                </c:pt>
                <c:pt idx="12">
                  <c:v>23927.702399999998</c:v>
                </c:pt>
                <c:pt idx="13">
                  <c:v>4023.9396000000002</c:v>
                </c:pt>
                <c:pt idx="14">
                  <c:v>55734.270600000003</c:v>
                </c:pt>
                <c:pt idx="15">
                  <c:v>17347.934799999999</c:v>
                </c:pt>
                <c:pt idx="16">
                  <c:v>2113.2159999999999</c:v>
                </c:pt>
                <c:pt idx="17">
                  <c:v>10264.275</c:v>
                </c:pt>
                <c:pt idx="18">
                  <c:v>22595.031999999999</c:v>
                </c:pt>
                <c:pt idx="19">
                  <c:v>9560.1692999999996</c:v>
                </c:pt>
                <c:pt idx="20">
                  <c:v>30829.151999999998</c:v>
                </c:pt>
                <c:pt idx="21">
                  <c:v>51021.233899999999</c:v>
                </c:pt>
                <c:pt idx="22">
                  <c:v>24468.943200000002</c:v>
                </c:pt>
                <c:pt idx="23">
                  <c:v>1690.8013000000001</c:v>
                </c:pt>
                <c:pt idx="24">
                  <c:v>868.66669999999999</c:v>
                </c:pt>
                <c:pt idx="25">
                  <c:v>5627.3606</c:v>
                </c:pt>
                <c:pt idx="26">
                  <c:v>34398.755700000002</c:v>
                </c:pt>
                <c:pt idx="27">
                  <c:v>32580.2048</c:v>
                </c:pt>
                <c:pt idx="28">
                  <c:v>944.53620000000001</c:v>
                </c:pt>
                <c:pt idx="29">
                  <c:v>16052.2428</c:v>
                </c:pt>
                <c:pt idx="30">
                  <c:v>2623.4883</c:v>
                </c:pt>
                <c:pt idx="31">
                  <c:v>8542.3631999999998</c:v>
                </c:pt>
                <c:pt idx="32">
                  <c:v>61862.931900000003</c:v>
                </c:pt>
                <c:pt idx="33">
                  <c:v>39913.966399999998</c:v>
                </c:pt>
                <c:pt idx="34">
                  <c:v>22555.495200000001</c:v>
                </c:pt>
                <c:pt idx="35">
                  <c:v>38146.052199999998</c:v>
                </c:pt>
                <c:pt idx="36">
                  <c:v>9449.9189999999999</c:v>
                </c:pt>
                <c:pt idx="37">
                  <c:v>22534.007399999999</c:v>
                </c:pt>
                <c:pt idx="38">
                  <c:v>36713.5095</c:v>
                </c:pt>
                <c:pt idx="39">
                  <c:v>3366.44</c:v>
                </c:pt>
                <c:pt idx="40">
                  <c:v>75145.126199999999</c:v>
                </c:pt>
                <c:pt idx="41">
                  <c:v>55106.9948</c:v>
                </c:pt>
                <c:pt idx="42">
                  <c:v>7212.0259999999998</c:v>
                </c:pt>
                <c:pt idx="43">
                  <c:v>7022.4934000000003</c:v>
                </c:pt>
                <c:pt idx="44">
                  <c:v>47195.980199999998</c:v>
                </c:pt>
                <c:pt idx="45">
                  <c:v>810.8184</c:v>
                </c:pt>
                <c:pt idx="46">
                  <c:v>23263.609799999998</c:v>
                </c:pt>
                <c:pt idx="47">
                  <c:v>87098.010999999999</c:v>
                </c:pt>
                <c:pt idx="48">
                  <c:v>2205.0295000000001</c:v>
                </c:pt>
                <c:pt idx="49">
                  <c:v>7810.8921</c:v>
                </c:pt>
                <c:pt idx="50">
                  <c:v>8990.8155000000006</c:v>
                </c:pt>
                <c:pt idx="51">
                  <c:v>4111.9232000000002</c:v>
                </c:pt>
                <c:pt idx="52">
                  <c:v>80386.076000000001</c:v>
                </c:pt>
                <c:pt idx="53">
                  <c:v>7342.643</c:v>
                </c:pt>
                <c:pt idx="54">
                  <c:v>19372.936399999999</c:v>
                </c:pt>
                <c:pt idx="55">
                  <c:v>55978.4251</c:v>
                </c:pt>
                <c:pt idx="56">
                  <c:v>1951.7352000000001</c:v>
                </c:pt>
                <c:pt idx="57">
                  <c:v>11182.7464</c:v>
                </c:pt>
                <c:pt idx="58">
                  <c:v>53618.073600000003</c:v>
                </c:pt>
                <c:pt idx="59">
                  <c:v>30892.945599999999</c:v>
                </c:pt>
                <c:pt idx="60">
                  <c:v>6470.64</c:v>
                </c:pt>
                <c:pt idx="61">
                  <c:v>6087.3579</c:v>
                </c:pt>
                <c:pt idx="62">
                  <c:v>19655.027999999998</c:v>
                </c:pt>
                <c:pt idx="63">
                  <c:v>3202.2804000000001</c:v>
                </c:pt>
                <c:pt idx="64">
                  <c:v>12010.9694</c:v>
                </c:pt>
                <c:pt idx="65">
                  <c:v>15399.848900000001</c:v>
                </c:pt>
                <c:pt idx="66">
                  <c:v>18328.569599999999</c:v>
                </c:pt>
                <c:pt idx="67">
                  <c:v>45018.520199999999</c:v>
                </c:pt>
                <c:pt idx="68">
                  <c:v>6182.8833999999997</c:v>
                </c:pt>
                <c:pt idx="69">
                  <c:v>28036.270499999999</c:v>
                </c:pt>
                <c:pt idx="70">
                  <c:v>1533.2639999999999</c:v>
                </c:pt>
                <c:pt idx="71">
                  <c:v>4065.0155</c:v>
                </c:pt>
                <c:pt idx="72">
                  <c:v>43117.703200000004</c:v>
                </c:pt>
                <c:pt idx="73">
                  <c:v>31444.125</c:v>
                </c:pt>
                <c:pt idx="74">
                  <c:v>2865.68</c:v>
                </c:pt>
                <c:pt idx="75">
                  <c:v>9857.6713999999993</c:v>
                </c:pt>
                <c:pt idx="76">
                  <c:v>16655.220799999999</c:v>
                </c:pt>
                <c:pt idx="77">
                  <c:v>20624.442299999999</c:v>
                </c:pt>
                <c:pt idx="78">
                  <c:v>5966.3274000000001</c:v>
                </c:pt>
                <c:pt idx="79">
                  <c:v>11297.286</c:v>
                </c:pt>
                <c:pt idx="80">
                  <c:v>79463.877600000007</c:v>
                </c:pt>
                <c:pt idx="81">
                  <c:v>56362.060799999999</c:v>
                </c:pt>
                <c:pt idx="82">
                  <c:v>5723.7263999999996</c:v>
                </c:pt>
                <c:pt idx="83">
                  <c:v>45688.125599999999</c:v>
                </c:pt>
                <c:pt idx="84">
                  <c:v>55066.519200000002</c:v>
                </c:pt>
                <c:pt idx="85">
                  <c:v>1924.075</c:v>
                </c:pt>
                <c:pt idx="86">
                  <c:v>4459.5986000000003</c:v>
                </c:pt>
                <c:pt idx="87">
                  <c:v>6352.7060000000001</c:v>
                </c:pt>
                <c:pt idx="88">
                  <c:v>55474.284800000001</c:v>
                </c:pt>
                <c:pt idx="89">
                  <c:v>13099.8534</c:v>
                </c:pt>
                <c:pt idx="90">
                  <c:v>4442.2079999999996</c:v>
                </c:pt>
                <c:pt idx="91">
                  <c:v>56894.591999999997</c:v>
                </c:pt>
                <c:pt idx="92">
                  <c:v>13169.119199999999</c:v>
                </c:pt>
                <c:pt idx="93">
                  <c:v>7899.1512000000002</c:v>
                </c:pt>
                <c:pt idx="94">
                  <c:v>2998.2098999999998</c:v>
                </c:pt>
                <c:pt idx="95">
                  <c:v>52351.4208</c:v>
                </c:pt>
                <c:pt idx="96">
                  <c:v>7913.0843999999997</c:v>
                </c:pt>
                <c:pt idx="97">
                  <c:v>218.6182</c:v>
                </c:pt>
                <c:pt idx="98">
                  <c:v>18035.949799999999</c:v>
                </c:pt>
                <c:pt idx="99">
                  <c:v>42960.660600000003</c:v>
                </c:pt>
              </c:numCache>
            </c:numRef>
          </c:yVal>
          <c:smooth val="0"/>
          <c:extLst>
            <c:ext xmlns:c16="http://schemas.microsoft.com/office/drawing/2014/chart" uri="{C3380CC4-5D6E-409C-BE32-E72D297353CC}">
              <c16:uniqueId val="{00000000-0164-4488-A9E8-05E5EB79026E}"/>
            </c:ext>
          </c:extLst>
        </c:ser>
        <c:dLbls>
          <c:showLegendKey val="0"/>
          <c:showVal val="0"/>
          <c:showCatName val="0"/>
          <c:showSerName val="0"/>
          <c:showPercent val="0"/>
          <c:showBubbleSize val="0"/>
        </c:dLbls>
        <c:axId val="1574824192"/>
        <c:axId val="1574826592"/>
      </c:scatterChart>
      <c:valAx>
        <c:axId val="1574824192"/>
        <c:scaling>
          <c:orientation val="minMax"/>
        </c:scaling>
        <c:delete val="0"/>
        <c:axPos val="b"/>
        <c:numFmt formatCode="_(&quot;$&quot;* #,##0_);_(&quot;$&quot;* \(#,##0\);_(&quot;$&quot;* &quot;-&quot;??_);_(@_)"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Aptos SemiBold" panose="020B0004020202020204" pitchFamily="34" charset="0"/>
                <a:ea typeface="+mn-ea"/>
                <a:cs typeface="+mn-cs"/>
              </a:defRPr>
            </a:pPr>
            <a:endParaRPr lang="en-US"/>
          </a:p>
        </c:txPr>
        <c:crossAx val="1574826592"/>
        <c:crosses val="autoZero"/>
        <c:crossBetween val="midCat"/>
      </c:valAx>
      <c:valAx>
        <c:axId val="1574826592"/>
        <c:scaling>
          <c:orientation val="minMax"/>
        </c:scaling>
        <c:delete val="0"/>
        <c:axPos val="l"/>
        <c:numFmt formatCode="&quot;$&quot;#,##0,&quot;K&quot;"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Aptos SemiBold" panose="020B0004020202020204" pitchFamily="34" charset="0"/>
                <a:ea typeface="+mn-ea"/>
                <a:cs typeface="+mn-cs"/>
              </a:defRPr>
            </a:pPr>
            <a:endParaRPr lang="en-US"/>
          </a:p>
        </c:txPr>
        <c:crossAx val="157482419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Analysis.xlsx]Analysis!PivotTable19</c:name>
    <c:fmtId val="4"/>
  </c:pivotSource>
  <c:chart>
    <c:autoTitleDeleted val="1"/>
    <c:pivotFmts>
      <c:pivotFmt>
        <c:idx val="0"/>
        <c:spPr>
          <a:solidFill>
            <a:srgbClr val="B99653"/>
          </a:solidFill>
          <a:ln w="38100">
            <a:solidFill>
              <a:srgbClr val="D4AF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9653"/>
          </a:solidFill>
          <a:ln w="38100">
            <a:solidFill>
              <a:srgbClr val="D4AF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Aptos SemiBold"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9653"/>
          </a:solidFill>
          <a:ln w="222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Aptos SemiBold"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33290B"/>
          </a:solidFill>
          <a:ln w="22225">
            <a:noFill/>
          </a:ln>
          <a:effectLst/>
        </c:spPr>
        <c:dLbl>
          <c:idx val="0"/>
          <c:layout>
            <c:manualLayout>
              <c:x val="-0.19413579224682734"/>
              <c:y val="5.1034486453759541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Aptos SemiBold"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B99653"/>
          </a:solidFill>
          <a:ln w="22225">
            <a:noFill/>
          </a:ln>
          <a:effectLst/>
        </c:spPr>
        <c:dLbl>
          <c:idx val="0"/>
          <c:layout>
            <c:manualLayout>
              <c:x val="-0.10468106444681868"/>
              <c:y val="-9.78160990363724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Aptos SemiBold"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D4AF37"/>
          </a:solidFill>
          <a:ln w="22225">
            <a:noFill/>
          </a:ln>
          <a:effectLst/>
        </c:spPr>
        <c:dLbl>
          <c:idx val="0"/>
          <c:layout>
            <c:manualLayout>
              <c:x val="0.12942386149788487"/>
              <c:y val="-0.15310345936127867"/>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Aptos SemiBold"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Analysis!$Q$7</c:f>
              <c:strCache>
                <c:ptCount val="1"/>
                <c:pt idx="0">
                  <c:v>Total</c:v>
                </c:pt>
              </c:strCache>
            </c:strRef>
          </c:tx>
          <c:spPr>
            <a:solidFill>
              <a:srgbClr val="B99653"/>
            </a:solidFill>
            <a:ln w="22225">
              <a:noFill/>
            </a:ln>
          </c:spPr>
          <c:dPt>
            <c:idx val="0"/>
            <c:bubble3D val="0"/>
            <c:spPr>
              <a:solidFill>
                <a:srgbClr val="33290B"/>
              </a:solidFill>
              <a:ln w="22225">
                <a:noFill/>
              </a:ln>
              <a:effectLst/>
            </c:spPr>
            <c:extLst>
              <c:ext xmlns:c16="http://schemas.microsoft.com/office/drawing/2014/chart" uri="{C3380CC4-5D6E-409C-BE32-E72D297353CC}">
                <c16:uniqueId val="{00000002-AF3D-4B73-9E48-B6C21D4EDC76}"/>
              </c:ext>
            </c:extLst>
          </c:dPt>
          <c:dPt>
            <c:idx val="1"/>
            <c:bubble3D val="0"/>
            <c:spPr>
              <a:solidFill>
                <a:srgbClr val="B99653"/>
              </a:solidFill>
              <a:ln w="22225">
                <a:noFill/>
              </a:ln>
              <a:effectLst/>
            </c:spPr>
            <c:extLst>
              <c:ext xmlns:c16="http://schemas.microsoft.com/office/drawing/2014/chart" uri="{C3380CC4-5D6E-409C-BE32-E72D297353CC}">
                <c16:uniqueId val="{00000003-AF3D-4B73-9E48-B6C21D4EDC76}"/>
              </c:ext>
            </c:extLst>
          </c:dPt>
          <c:dPt>
            <c:idx val="2"/>
            <c:bubble3D val="0"/>
            <c:spPr>
              <a:solidFill>
                <a:srgbClr val="D4AF37"/>
              </a:solidFill>
              <a:ln w="22225">
                <a:noFill/>
              </a:ln>
              <a:effectLst/>
            </c:spPr>
            <c:extLst>
              <c:ext xmlns:c16="http://schemas.microsoft.com/office/drawing/2014/chart" uri="{C3380CC4-5D6E-409C-BE32-E72D297353CC}">
                <c16:uniqueId val="{00000004-AF3D-4B73-9E48-B6C21D4EDC76}"/>
              </c:ext>
            </c:extLst>
          </c:dPt>
          <c:dLbls>
            <c:dLbl>
              <c:idx val="0"/>
              <c:layout>
                <c:manualLayout>
                  <c:x val="-0.19413579224682734"/>
                  <c:y val="5.10344864537595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F3D-4B73-9E48-B6C21D4EDC76}"/>
                </c:ext>
              </c:extLst>
            </c:dLbl>
            <c:dLbl>
              <c:idx val="1"/>
              <c:layout>
                <c:manualLayout>
                  <c:x val="-0.10468106444681868"/>
                  <c:y val="-9.7816099036372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3D-4B73-9E48-B6C21D4EDC76}"/>
                </c:ext>
              </c:extLst>
            </c:dLbl>
            <c:dLbl>
              <c:idx val="2"/>
              <c:layout>
                <c:manualLayout>
                  <c:x val="0.12942386149788487"/>
                  <c:y val="-0.153103459361278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F3D-4B73-9E48-B6C21D4EDC7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Aptos SemiBold" panose="020B00040202020202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Analysis!$P$8:$P$11</c:f>
              <c:strCache>
                <c:ptCount val="3"/>
                <c:pt idx="0">
                  <c:v>Cosmetics</c:v>
                </c:pt>
                <c:pt idx="1">
                  <c:v>Haircare</c:v>
                </c:pt>
                <c:pt idx="2">
                  <c:v>Skincare</c:v>
                </c:pt>
              </c:strCache>
            </c:strRef>
          </c:cat>
          <c:val>
            <c:numRef>
              <c:f>Analysis!$Q$8:$Q$11</c:f>
              <c:numCache>
                <c:formatCode>\$#,##0.00;\(\$#,##0.00\);\$#,##0.00</c:formatCode>
                <c:ptCount val="3"/>
                <c:pt idx="0">
                  <c:v>600580.46429999999</c:v>
                </c:pt>
                <c:pt idx="1">
                  <c:v>632896.12890000001</c:v>
                </c:pt>
                <c:pt idx="2">
                  <c:v>1052073.1403000001</c:v>
                </c:pt>
              </c:numCache>
            </c:numRef>
          </c:val>
          <c:extLst>
            <c:ext xmlns:c16="http://schemas.microsoft.com/office/drawing/2014/chart" uri="{C3380CC4-5D6E-409C-BE32-E72D297353CC}">
              <c16:uniqueId val="{00000000-AF3D-4B73-9E48-B6C21D4EDC76}"/>
            </c:ext>
          </c:extLst>
        </c:ser>
        <c:dLbls>
          <c:showLegendKey val="0"/>
          <c:showVal val="0"/>
          <c:showCatName val="0"/>
          <c:showSerName val="0"/>
          <c:showPercent val="0"/>
          <c:showBubbleSize val="0"/>
          <c:showLeaderLines val="1"/>
        </c:dLbls>
        <c:firstSliceAng val="149"/>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Analysis.xlsx]Analysis!PivotTable20</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B99653"/>
            </a:solidFill>
            <a:round/>
          </a:ln>
          <a:effectLst/>
        </c:spPr>
        <c:marker>
          <c:symbol val="circle"/>
          <c:size val="5"/>
          <c:spPr>
            <a:solidFill>
              <a:srgbClr val="33290B"/>
            </a:solidFill>
            <a:ln w="22225">
              <a:solidFill>
                <a:srgbClr val="33290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Analysis!$N$19</c:f>
              <c:strCache>
                <c:ptCount val="1"/>
                <c:pt idx="0">
                  <c:v>Total</c:v>
                </c:pt>
              </c:strCache>
            </c:strRef>
          </c:tx>
          <c:spPr>
            <a:ln w="38100" cap="rnd">
              <a:solidFill>
                <a:srgbClr val="B99653"/>
              </a:solidFill>
              <a:round/>
            </a:ln>
            <a:effectLst/>
          </c:spPr>
          <c:marker>
            <c:symbol val="circle"/>
            <c:size val="5"/>
            <c:spPr>
              <a:solidFill>
                <a:srgbClr val="33290B"/>
              </a:solidFill>
              <a:ln w="22225">
                <a:solidFill>
                  <a:srgbClr val="33290B"/>
                </a:solidFill>
              </a:ln>
              <a:effectLst/>
            </c:spPr>
          </c:marker>
          <c:cat>
            <c:strRef>
              <c:f>Analysis!$M$20:$M$120</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Analysis!$N$20:$N$120</c:f>
              <c:numCache>
                <c:formatCode>\$#,##0.00;\(\$#,##0.00\);\$#,##0.00</c:formatCode>
                <c:ptCount val="100"/>
                <c:pt idx="0">
                  <c:v>55986.016000000003</c:v>
                </c:pt>
                <c:pt idx="1">
                  <c:v>10924.816000000001</c:v>
                </c:pt>
                <c:pt idx="2">
                  <c:v>15644.968800000001</c:v>
                </c:pt>
                <c:pt idx="3">
                  <c:v>87010.08</c:v>
                </c:pt>
                <c:pt idx="4">
                  <c:v>23927.702399999998</c:v>
                </c:pt>
                <c:pt idx="5">
                  <c:v>4023.9396000000002</c:v>
                </c:pt>
                <c:pt idx="6">
                  <c:v>55734.270600000003</c:v>
                </c:pt>
                <c:pt idx="7">
                  <c:v>17347.934799999999</c:v>
                </c:pt>
                <c:pt idx="8">
                  <c:v>2113.2159999999999</c:v>
                </c:pt>
                <c:pt idx="9">
                  <c:v>10264.275</c:v>
                </c:pt>
                <c:pt idx="10">
                  <c:v>22595.031999999999</c:v>
                </c:pt>
                <c:pt idx="11">
                  <c:v>9560.1692999999996</c:v>
                </c:pt>
                <c:pt idx="12">
                  <c:v>90.557599999999994</c:v>
                </c:pt>
                <c:pt idx="13">
                  <c:v>30829.151999999998</c:v>
                </c:pt>
                <c:pt idx="14">
                  <c:v>51021.233899999999</c:v>
                </c:pt>
                <c:pt idx="15">
                  <c:v>24468.943200000002</c:v>
                </c:pt>
                <c:pt idx="16">
                  <c:v>1690.8013000000001</c:v>
                </c:pt>
                <c:pt idx="17">
                  <c:v>868.66669999999999</c:v>
                </c:pt>
                <c:pt idx="18">
                  <c:v>5627.3606</c:v>
                </c:pt>
                <c:pt idx="19">
                  <c:v>34398.755700000002</c:v>
                </c:pt>
                <c:pt idx="20">
                  <c:v>32580.2048</c:v>
                </c:pt>
                <c:pt idx="21">
                  <c:v>944.53620000000001</c:v>
                </c:pt>
                <c:pt idx="22">
                  <c:v>16052.2428</c:v>
                </c:pt>
                <c:pt idx="23">
                  <c:v>5076.5538999999999</c:v>
                </c:pt>
                <c:pt idx="24">
                  <c:v>2623.4883</c:v>
                </c:pt>
                <c:pt idx="25">
                  <c:v>8542.3631999999998</c:v>
                </c:pt>
                <c:pt idx="26">
                  <c:v>61862.931900000003</c:v>
                </c:pt>
                <c:pt idx="27">
                  <c:v>39913.966399999998</c:v>
                </c:pt>
                <c:pt idx="28">
                  <c:v>22555.495200000001</c:v>
                </c:pt>
                <c:pt idx="29">
                  <c:v>38146.052199999998</c:v>
                </c:pt>
                <c:pt idx="30">
                  <c:v>9449.9189999999999</c:v>
                </c:pt>
                <c:pt idx="31">
                  <c:v>22534.007399999999</c:v>
                </c:pt>
                <c:pt idx="32">
                  <c:v>36713.5095</c:v>
                </c:pt>
                <c:pt idx="33">
                  <c:v>3366.44</c:v>
                </c:pt>
                <c:pt idx="34">
                  <c:v>4185.5905000000002</c:v>
                </c:pt>
                <c:pt idx="35">
                  <c:v>75145.126199999999</c:v>
                </c:pt>
                <c:pt idx="36">
                  <c:v>55106.9948</c:v>
                </c:pt>
                <c:pt idx="37">
                  <c:v>7212.0259999999998</c:v>
                </c:pt>
                <c:pt idx="38">
                  <c:v>7022.4934000000003</c:v>
                </c:pt>
                <c:pt idx="39">
                  <c:v>47195.980199999998</c:v>
                </c:pt>
                <c:pt idx="40">
                  <c:v>810.8184</c:v>
                </c:pt>
                <c:pt idx="41">
                  <c:v>23263.609799999998</c:v>
                </c:pt>
                <c:pt idx="42">
                  <c:v>87098.010999999999</c:v>
                </c:pt>
                <c:pt idx="43">
                  <c:v>2205.0295000000001</c:v>
                </c:pt>
                <c:pt idx="44">
                  <c:v>7810.8921</c:v>
                </c:pt>
                <c:pt idx="45">
                  <c:v>249.9</c:v>
                </c:pt>
                <c:pt idx="46">
                  <c:v>8990.8155000000006</c:v>
                </c:pt>
                <c:pt idx="47">
                  <c:v>4111.9232000000002</c:v>
                </c:pt>
                <c:pt idx="48">
                  <c:v>80386.076000000001</c:v>
                </c:pt>
                <c:pt idx="49">
                  <c:v>7342.643</c:v>
                </c:pt>
                <c:pt idx="50">
                  <c:v>19372.936399999999</c:v>
                </c:pt>
                <c:pt idx="51">
                  <c:v>55978.4251</c:v>
                </c:pt>
                <c:pt idx="52">
                  <c:v>1951.7352000000001</c:v>
                </c:pt>
                <c:pt idx="53">
                  <c:v>11182.7464</c:v>
                </c:pt>
                <c:pt idx="54">
                  <c:v>53618.073600000003</c:v>
                </c:pt>
                <c:pt idx="55">
                  <c:v>30892.945599999999</c:v>
                </c:pt>
                <c:pt idx="56">
                  <c:v>265.08949999999999</c:v>
                </c:pt>
                <c:pt idx="57">
                  <c:v>6470.64</c:v>
                </c:pt>
                <c:pt idx="58">
                  <c:v>6087.3579</c:v>
                </c:pt>
                <c:pt idx="59">
                  <c:v>19655.027999999998</c:v>
                </c:pt>
                <c:pt idx="60">
                  <c:v>3202.2804000000001</c:v>
                </c:pt>
                <c:pt idx="61">
                  <c:v>12010.9694</c:v>
                </c:pt>
                <c:pt idx="62">
                  <c:v>15399.848900000001</c:v>
                </c:pt>
                <c:pt idx="63">
                  <c:v>18328.569599999999</c:v>
                </c:pt>
                <c:pt idx="64">
                  <c:v>45018.520199999999</c:v>
                </c:pt>
                <c:pt idx="65">
                  <c:v>6182.8833999999997</c:v>
                </c:pt>
                <c:pt idx="66">
                  <c:v>28036.270499999999</c:v>
                </c:pt>
                <c:pt idx="67">
                  <c:v>18300.278399999999</c:v>
                </c:pt>
                <c:pt idx="68">
                  <c:v>1533.2639999999999</c:v>
                </c:pt>
                <c:pt idx="69">
                  <c:v>4065.0155</c:v>
                </c:pt>
                <c:pt idx="70">
                  <c:v>43117.703200000004</c:v>
                </c:pt>
                <c:pt idx="71">
                  <c:v>31444.125</c:v>
                </c:pt>
                <c:pt idx="72">
                  <c:v>2865.68</c:v>
                </c:pt>
                <c:pt idx="73">
                  <c:v>9857.6713999999993</c:v>
                </c:pt>
                <c:pt idx="74">
                  <c:v>16655.220799999999</c:v>
                </c:pt>
                <c:pt idx="75">
                  <c:v>20624.442299999999</c:v>
                </c:pt>
                <c:pt idx="76">
                  <c:v>5966.3274000000001</c:v>
                </c:pt>
                <c:pt idx="77">
                  <c:v>11297.286</c:v>
                </c:pt>
                <c:pt idx="78">
                  <c:v>10307.64</c:v>
                </c:pt>
                <c:pt idx="79">
                  <c:v>79463.877600000007</c:v>
                </c:pt>
                <c:pt idx="80">
                  <c:v>56362.060799999999</c:v>
                </c:pt>
                <c:pt idx="81">
                  <c:v>5723.7263999999996</c:v>
                </c:pt>
                <c:pt idx="82">
                  <c:v>45688.125599999999</c:v>
                </c:pt>
                <c:pt idx="83">
                  <c:v>55066.519200000002</c:v>
                </c:pt>
                <c:pt idx="84">
                  <c:v>1924.075</c:v>
                </c:pt>
                <c:pt idx="85">
                  <c:v>4459.5986000000003</c:v>
                </c:pt>
                <c:pt idx="86">
                  <c:v>6352.7060000000001</c:v>
                </c:pt>
                <c:pt idx="87">
                  <c:v>55474.284800000001</c:v>
                </c:pt>
                <c:pt idx="88">
                  <c:v>13099.8534</c:v>
                </c:pt>
                <c:pt idx="89">
                  <c:v>62735.385999999999</c:v>
                </c:pt>
                <c:pt idx="90">
                  <c:v>4442.2079999999996</c:v>
                </c:pt>
                <c:pt idx="91">
                  <c:v>56894.591999999997</c:v>
                </c:pt>
                <c:pt idx="92">
                  <c:v>13169.119199999999</c:v>
                </c:pt>
                <c:pt idx="93">
                  <c:v>7899.1512000000002</c:v>
                </c:pt>
                <c:pt idx="94">
                  <c:v>2998.2098999999998</c:v>
                </c:pt>
                <c:pt idx="95">
                  <c:v>52351.4208</c:v>
                </c:pt>
                <c:pt idx="96">
                  <c:v>7913.0843999999997</c:v>
                </c:pt>
                <c:pt idx="97">
                  <c:v>218.6182</c:v>
                </c:pt>
                <c:pt idx="98">
                  <c:v>18035.949799999999</c:v>
                </c:pt>
                <c:pt idx="99">
                  <c:v>42960.660600000003</c:v>
                </c:pt>
              </c:numCache>
            </c:numRef>
          </c:val>
          <c:smooth val="0"/>
          <c:extLst>
            <c:ext xmlns:c16="http://schemas.microsoft.com/office/drawing/2014/chart" uri="{C3380CC4-5D6E-409C-BE32-E72D297353CC}">
              <c16:uniqueId val="{00000000-CC47-4F58-A839-0C62ADD4FD99}"/>
            </c:ext>
          </c:extLst>
        </c:ser>
        <c:dLbls>
          <c:dLblPos val="t"/>
          <c:showLegendKey val="0"/>
          <c:showVal val="0"/>
          <c:showCatName val="0"/>
          <c:showSerName val="0"/>
          <c:showPercent val="0"/>
          <c:showBubbleSize val="0"/>
        </c:dLbls>
        <c:marker val="1"/>
        <c:smooth val="0"/>
        <c:axId val="362194912"/>
        <c:axId val="362195872"/>
      </c:lineChart>
      <c:catAx>
        <c:axId val="362194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Aptos SemiBold" panose="020B0004020202020204" pitchFamily="34" charset="0"/>
                <a:ea typeface="+mn-ea"/>
                <a:cs typeface="+mn-cs"/>
              </a:defRPr>
            </a:pPr>
            <a:endParaRPr lang="en-US"/>
          </a:p>
        </c:txPr>
        <c:crossAx val="362195872"/>
        <c:crosses val="autoZero"/>
        <c:auto val="1"/>
        <c:lblAlgn val="ctr"/>
        <c:lblOffset val="100"/>
        <c:noMultiLvlLbl val="0"/>
      </c:catAx>
      <c:valAx>
        <c:axId val="362195872"/>
        <c:scaling>
          <c:orientation val="minMax"/>
        </c:scaling>
        <c:delete val="0"/>
        <c:axPos val="l"/>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ptos SemiBold" panose="020B0004020202020204" pitchFamily="34" charset="0"/>
                <a:ea typeface="+mn-ea"/>
                <a:cs typeface="+mn-cs"/>
              </a:defRPr>
            </a:pPr>
            <a:endParaRPr lang="en-US"/>
          </a:p>
        </c:txPr>
        <c:crossAx val="36219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Analysis.xlsx]Analysis!PivotTable21</c:name>
    <c:fmtId val="4"/>
  </c:pivotSource>
  <c:chart>
    <c:autoTitleDeleted val="1"/>
    <c:pivotFmts>
      <c:pivotFmt>
        <c:idx val="0"/>
        <c:spPr>
          <a:solidFill>
            <a:schemeClr val="accent1"/>
          </a:solidFill>
          <a:ln w="38100" cap="rnd">
            <a:solidFill>
              <a:srgbClr val="B996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B996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B99653"/>
            </a:solidFill>
            <a:round/>
          </a:ln>
          <a:effectLst/>
        </c:spPr>
        <c:marker>
          <c:symbol val="square"/>
          <c:size val="5"/>
          <c:spPr>
            <a:solidFill>
              <a:srgbClr val="33290B"/>
            </a:solidFill>
            <a:ln w="25400">
              <a:solidFill>
                <a:srgbClr val="33290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Analysis!$Q$19</c:f>
              <c:strCache>
                <c:ptCount val="1"/>
                <c:pt idx="0">
                  <c:v>Total</c:v>
                </c:pt>
              </c:strCache>
            </c:strRef>
          </c:tx>
          <c:spPr>
            <a:ln w="38100" cap="rnd">
              <a:solidFill>
                <a:srgbClr val="B99653"/>
              </a:solidFill>
              <a:round/>
            </a:ln>
            <a:effectLst/>
          </c:spPr>
          <c:marker>
            <c:symbol val="square"/>
            <c:size val="5"/>
            <c:spPr>
              <a:solidFill>
                <a:srgbClr val="33290B"/>
              </a:solidFill>
              <a:ln w="25400">
                <a:solidFill>
                  <a:srgbClr val="33290B"/>
                </a:solidFill>
              </a:ln>
              <a:effectLst/>
            </c:spPr>
          </c:marker>
          <c:cat>
            <c:strRef>
              <c:f>Analysis!$P$20:$P$120</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Analysis!$Q$20:$Q$120</c:f>
              <c:numCache>
                <c:formatCode>General</c:formatCode>
                <c:ptCount val="100"/>
                <c:pt idx="0">
                  <c:v>58</c:v>
                </c:pt>
                <c:pt idx="1">
                  <c:v>53</c:v>
                </c:pt>
                <c:pt idx="2">
                  <c:v>51</c:v>
                </c:pt>
                <c:pt idx="3">
                  <c:v>46</c:v>
                </c:pt>
                <c:pt idx="4">
                  <c:v>100</c:v>
                </c:pt>
                <c:pt idx="5">
                  <c:v>80</c:v>
                </c:pt>
                <c:pt idx="6">
                  <c:v>54</c:v>
                </c:pt>
                <c:pt idx="7">
                  <c:v>9</c:v>
                </c:pt>
                <c:pt idx="8">
                  <c:v>2</c:v>
                </c:pt>
                <c:pt idx="9">
                  <c:v>45</c:v>
                </c:pt>
                <c:pt idx="10">
                  <c:v>10</c:v>
                </c:pt>
                <c:pt idx="11">
                  <c:v>48</c:v>
                </c:pt>
                <c:pt idx="12">
                  <c:v>1</c:v>
                </c:pt>
                <c:pt idx="13">
                  <c:v>27</c:v>
                </c:pt>
                <c:pt idx="14">
                  <c:v>69</c:v>
                </c:pt>
                <c:pt idx="15">
                  <c:v>71</c:v>
                </c:pt>
                <c:pt idx="16">
                  <c:v>84</c:v>
                </c:pt>
                <c:pt idx="17">
                  <c:v>4</c:v>
                </c:pt>
                <c:pt idx="18">
                  <c:v>82</c:v>
                </c:pt>
                <c:pt idx="19">
                  <c:v>59</c:v>
                </c:pt>
                <c:pt idx="20">
                  <c:v>47</c:v>
                </c:pt>
                <c:pt idx="21">
                  <c:v>48</c:v>
                </c:pt>
                <c:pt idx="22">
                  <c:v>45</c:v>
                </c:pt>
                <c:pt idx="23">
                  <c:v>23</c:v>
                </c:pt>
                <c:pt idx="24">
                  <c:v>60</c:v>
                </c:pt>
                <c:pt idx="25">
                  <c:v>6</c:v>
                </c:pt>
                <c:pt idx="26">
                  <c:v>89</c:v>
                </c:pt>
                <c:pt idx="27">
                  <c:v>4</c:v>
                </c:pt>
                <c:pt idx="28">
                  <c:v>1</c:v>
                </c:pt>
                <c:pt idx="29">
                  <c:v>42</c:v>
                </c:pt>
                <c:pt idx="30">
                  <c:v>18</c:v>
                </c:pt>
                <c:pt idx="31">
                  <c:v>25</c:v>
                </c:pt>
                <c:pt idx="32">
                  <c:v>69</c:v>
                </c:pt>
                <c:pt idx="33">
                  <c:v>78</c:v>
                </c:pt>
                <c:pt idx="34">
                  <c:v>5</c:v>
                </c:pt>
                <c:pt idx="35">
                  <c:v>90</c:v>
                </c:pt>
                <c:pt idx="36">
                  <c:v>64</c:v>
                </c:pt>
                <c:pt idx="37">
                  <c:v>22</c:v>
                </c:pt>
                <c:pt idx="38">
                  <c:v>36</c:v>
                </c:pt>
                <c:pt idx="39">
                  <c:v>13</c:v>
                </c:pt>
                <c:pt idx="40">
                  <c:v>93</c:v>
                </c:pt>
                <c:pt idx="41">
                  <c:v>92</c:v>
                </c:pt>
                <c:pt idx="42">
                  <c:v>4</c:v>
                </c:pt>
                <c:pt idx="43">
                  <c:v>30</c:v>
                </c:pt>
                <c:pt idx="44">
                  <c:v>97</c:v>
                </c:pt>
                <c:pt idx="45">
                  <c:v>90</c:v>
                </c:pt>
                <c:pt idx="46">
                  <c:v>31</c:v>
                </c:pt>
                <c:pt idx="47">
                  <c:v>100</c:v>
                </c:pt>
                <c:pt idx="48">
                  <c:v>64</c:v>
                </c:pt>
                <c:pt idx="49">
                  <c:v>96</c:v>
                </c:pt>
                <c:pt idx="50">
                  <c:v>33</c:v>
                </c:pt>
                <c:pt idx="51">
                  <c:v>97</c:v>
                </c:pt>
                <c:pt idx="52">
                  <c:v>25</c:v>
                </c:pt>
                <c:pt idx="53">
                  <c:v>5</c:v>
                </c:pt>
                <c:pt idx="54">
                  <c:v>10</c:v>
                </c:pt>
                <c:pt idx="55">
                  <c:v>100</c:v>
                </c:pt>
                <c:pt idx="56">
                  <c:v>11</c:v>
                </c:pt>
                <c:pt idx="57">
                  <c:v>41</c:v>
                </c:pt>
                <c:pt idx="58">
                  <c:v>32</c:v>
                </c:pt>
                <c:pt idx="59">
                  <c:v>86</c:v>
                </c:pt>
                <c:pt idx="60">
                  <c:v>54</c:v>
                </c:pt>
                <c:pt idx="61">
                  <c:v>73</c:v>
                </c:pt>
                <c:pt idx="62">
                  <c:v>57</c:v>
                </c:pt>
                <c:pt idx="63">
                  <c:v>13</c:v>
                </c:pt>
                <c:pt idx="64">
                  <c:v>12</c:v>
                </c:pt>
                <c:pt idx="65">
                  <c:v>0</c:v>
                </c:pt>
                <c:pt idx="66">
                  <c:v>95</c:v>
                </c:pt>
                <c:pt idx="67">
                  <c:v>93</c:v>
                </c:pt>
                <c:pt idx="68">
                  <c:v>10</c:v>
                </c:pt>
                <c:pt idx="69">
                  <c:v>76</c:v>
                </c:pt>
                <c:pt idx="70">
                  <c:v>57</c:v>
                </c:pt>
                <c:pt idx="71">
                  <c:v>17</c:v>
                </c:pt>
                <c:pt idx="72">
                  <c:v>41</c:v>
                </c:pt>
                <c:pt idx="73">
                  <c:v>16</c:v>
                </c:pt>
                <c:pt idx="74">
                  <c:v>38</c:v>
                </c:pt>
                <c:pt idx="75">
                  <c:v>96</c:v>
                </c:pt>
                <c:pt idx="76">
                  <c:v>5</c:v>
                </c:pt>
                <c:pt idx="77">
                  <c:v>31</c:v>
                </c:pt>
                <c:pt idx="78">
                  <c:v>5</c:v>
                </c:pt>
                <c:pt idx="79">
                  <c:v>39</c:v>
                </c:pt>
                <c:pt idx="80">
                  <c:v>48</c:v>
                </c:pt>
                <c:pt idx="81">
                  <c:v>42</c:v>
                </c:pt>
                <c:pt idx="82">
                  <c:v>65</c:v>
                </c:pt>
                <c:pt idx="83">
                  <c:v>73</c:v>
                </c:pt>
                <c:pt idx="84">
                  <c:v>15</c:v>
                </c:pt>
                <c:pt idx="85">
                  <c:v>32</c:v>
                </c:pt>
                <c:pt idx="86">
                  <c:v>5</c:v>
                </c:pt>
                <c:pt idx="87">
                  <c:v>60</c:v>
                </c:pt>
                <c:pt idx="88">
                  <c:v>90</c:v>
                </c:pt>
                <c:pt idx="89">
                  <c:v>14</c:v>
                </c:pt>
                <c:pt idx="90">
                  <c:v>66</c:v>
                </c:pt>
                <c:pt idx="91">
                  <c:v>98</c:v>
                </c:pt>
                <c:pt idx="92">
                  <c:v>90</c:v>
                </c:pt>
                <c:pt idx="93">
                  <c:v>63</c:v>
                </c:pt>
                <c:pt idx="94">
                  <c:v>77</c:v>
                </c:pt>
                <c:pt idx="95">
                  <c:v>15</c:v>
                </c:pt>
                <c:pt idx="96">
                  <c:v>67</c:v>
                </c:pt>
                <c:pt idx="97">
                  <c:v>46</c:v>
                </c:pt>
                <c:pt idx="98">
                  <c:v>53</c:v>
                </c:pt>
                <c:pt idx="99">
                  <c:v>55</c:v>
                </c:pt>
              </c:numCache>
            </c:numRef>
          </c:val>
          <c:smooth val="0"/>
          <c:extLst>
            <c:ext xmlns:c16="http://schemas.microsoft.com/office/drawing/2014/chart" uri="{C3380CC4-5D6E-409C-BE32-E72D297353CC}">
              <c16:uniqueId val="{00000000-97B2-428C-8DA4-25741B7FC55F}"/>
            </c:ext>
          </c:extLst>
        </c:ser>
        <c:dLbls>
          <c:showLegendKey val="0"/>
          <c:showVal val="0"/>
          <c:showCatName val="0"/>
          <c:showSerName val="0"/>
          <c:showPercent val="0"/>
          <c:showBubbleSize val="0"/>
        </c:dLbls>
        <c:marker val="1"/>
        <c:smooth val="0"/>
        <c:axId val="30209567"/>
        <c:axId val="30208607"/>
      </c:lineChart>
      <c:catAx>
        <c:axId val="302095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Aptos SemiBold" panose="020B0004020202020204" pitchFamily="34" charset="0"/>
                <a:ea typeface="+mn-ea"/>
                <a:cs typeface="+mn-cs"/>
              </a:defRPr>
            </a:pPr>
            <a:endParaRPr lang="en-US"/>
          </a:p>
        </c:txPr>
        <c:crossAx val="30208607"/>
        <c:crosses val="autoZero"/>
        <c:auto val="1"/>
        <c:lblAlgn val="ctr"/>
        <c:lblOffset val="100"/>
        <c:noMultiLvlLbl val="0"/>
      </c:catAx>
      <c:valAx>
        <c:axId val="3020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Aptos SemiBold" panose="020B0004020202020204" pitchFamily="34" charset="0"/>
                <a:ea typeface="+mn-ea"/>
                <a:cs typeface="+mn-cs"/>
              </a:defRPr>
            </a:pPr>
            <a:endParaRPr lang="en-US"/>
          </a:p>
        </c:txPr>
        <c:crossAx val="3020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Customer DashBoard'!A1"/><Relationship Id="rId7"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Supplier and Logistic Dashboard'!A1"/><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hyperlink" Target="#Analysis!A1"/><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hyperlink" Target="#'Customer DashBoard'!A1"/><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Supplier and Logistic Dashboard'!A1"/><Relationship Id="rId6" Type="http://schemas.openxmlformats.org/officeDocument/2006/relationships/image" Target="../media/image3.png"/><Relationship Id="rId5" Type="http://schemas.openxmlformats.org/officeDocument/2006/relationships/hyperlink" Target="#Analysis!A1"/><Relationship Id="rId10" Type="http://schemas.openxmlformats.org/officeDocument/2006/relationships/chart" Target="../charts/chart9.xml"/><Relationship Id="rId4" Type="http://schemas.openxmlformats.org/officeDocument/2006/relationships/image" Target="../media/image2.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102970</xdr:colOff>
      <xdr:row>1</xdr:row>
      <xdr:rowOff>72078</xdr:rowOff>
    </xdr:from>
    <xdr:to>
      <xdr:col>30</xdr:col>
      <xdr:colOff>380995</xdr:colOff>
      <xdr:row>52</xdr:row>
      <xdr:rowOff>10294</xdr:rowOff>
    </xdr:to>
    <xdr:grpSp>
      <xdr:nvGrpSpPr>
        <xdr:cNvPr id="88" name="Group 87">
          <a:extLst>
            <a:ext uri="{FF2B5EF4-FFF2-40B4-BE49-F238E27FC236}">
              <a16:creationId xmlns:a16="http://schemas.microsoft.com/office/drawing/2014/main" id="{BC3134B4-CDE0-5996-7471-5D0254F989A3}"/>
            </a:ext>
          </a:extLst>
        </xdr:cNvPr>
        <xdr:cNvGrpSpPr/>
      </xdr:nvGrpSpPr>
      <xdr:grpSpPr>
        <a:xfrm>
          <a:off x="102970" y="257429"/>
          <a:ext cx="18504241" cy="9391135"/>
          <a:chOff x="0" y="0"/>
          <a:chExt cx="18504241" cy="9391135"/>
        </a:xfrm>
      </xdr:grpSpPr>
      <xdr:grpSp>
        <xdr:nvGrpSpPr>
          <xdr:cNvPr id="41" name="Group 40">
            <a:extLst>
              <a:ext uri="{FF2B5EF4-FFF2-40B4-BE49-F238E27FC236}">
                <a16:creationId xmlns:a16="http://schemas.microsoft.com/office/drawing/2014/main" id="{B55540BD-C5A4-8CF4-77C8-686B0989ED99}"/>
              </a:ext>
            </a:extLst>
          </xdr:cNvPr>
          <xdr:cNvGrpSpPr/>
        </xdr:nvGrpSpPr>
        <xdr:grpSpPr>
          <a:xfrm>
            <a:off x="700214" y="359247"/>
            <a:ext cx="17804027" cy="9031888"/>
            <a:chOff x="607541" y="348950"/>
            <a:chExt cx="17804027" cy="9031888"/>
          </a:xfrm>
        </xdr:grpSpPr>
        <xdr:grpSp>
          <xdr:nvGrpSpPr>
            <xdr:cNvPr id="16" name="Group 15">
              <a:extLst>
                <a:ext uri="{FF2B5EF4-FFF2-40B4-BE49-F238E27FC236}">
                  <a16:creationId xmlns:a16="http://schemas.microsoft.com/office/drawing/2014/main" id="{9EA432A2-7474-77FC-8C28-EF193E1A71FD}"/>
                </a:ext>
              </a:extLst>
            </xdr:cNvPr>
            <xdr:cNvGrpSpPr/>
          </xdr:nvGrpSpPr>
          <xdr:grpSpPr>
            <a:xfrm>
              <a:off x="607541" y="348950"/>
              <a:ext cx="17804027" cy="9031888"/>
              <a:chOff x="-446744" y="341144"/>
              <a:chExt cx="27424363" cy="17279873"/>
            </a:xfrm>
          </xdr:grpSpPr>
          <xdr:sp macro="" textlink="">
            <xdr:nvSpPr>
              <xdr:cNvPr id="17" name="Rectangle: Rounded Corners 16">
                <a:extLst>
                  <a:ext uri="{FF2B5EF4-FFF2-40B4-BE49-F238E27FC236}">
                    <a16:creationId xmlns:a16="http://schemas.microsoft.com/office/drawing/2014/main" id="{D5EBB7C5-332C-2114-3B4B-4F412531A925}"/>
                  </a:ext>
                </a:extLst>
              </xdr:cNvPr>
              <xdr:cNvSpPr/>
            </xdr:nvSpPr>
            <xdr:spPr>
              <a:xfrm>
                <a:off x="-446744" y="341144"/>
                <a:ext cx="27424363" cy="17279873"/>
              </a:xfrm>
              <a:prstGeom prst="roundRect">
                <a:avLst>
                  <a:gd name="adj" fmla="val 2884"/>
                </a:avLst>
              </a:prstGeom>
              <a:solidFill>
                <a:srgbClr val="0A0A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 name="Rectangle: Rounded Corners 21">
                <a:extLst>
                  <a:ext uri="{FF2B5EF4-FFF2-40B4-BE49-F238E27FC236}">
                    <a16:creationId xmlns:a16="http://schemas.microsoft.com/office/drawing/2014/main" id="{45DF0394-271D-4AEC-BD6D-10BCEFBF35F0}"/>
                  </a:ext>
                </a:extLst>
              </xdr:cNvPr>
              <xdr:cNvSpPr/>
            </xdr:nvSpPr>
            <xdr:spPr>
              <a:xfrm>
                <a:off x="818336" y="9639704"/>
                <a:ext cx="7617310" cy="7583138"/>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nvGrpSpPr>
              <xdr:cNvPr id="26" name="Group 25">
                <a:extLst>
                  <a:ext uri="{FF2B5EF4-FFF2-40B4-BE49-F238E27FC236}">
                    <a16:creationId xmlns:a16="http://schemas.microsoft.com/office/drawing/2014/main" id="{10B994F0-F1BA-E1ED-CE14-36E6D2B23C5F}"/>
                  </a:ext>
                </a:extLst>
              </xdr:cNvPr>
              <xdr:cNvGrpSpPr/>
            </xdr:nvGrpSpPr>
            <xdr:grpSpPr>
              <a:xfrm>
                <a:off x="-303037" y="6263916"/>
                <a:ext cx="982455" cy="5624146"/>
                <a:chOff x="-303037" y="6263916"/>
                <a:chExt cx="982455" cy="5624146"/>
              </a:xfrm>
            </xdr:grpSpPr>
            <xdr:sp macro="" textlink="">
              <xdr:nvSpPr>
                <xdr:cNvPr id="27" name="Rectangle: Rounded Corners 26">
                  <a:extLst>
                    <a:ext uri="{FF2B5EF4-FFF2-40B4-BE49-F238E27FC236}">
                      <a16:creationId xmlns:a16="http://schemas.microsoft.com/office/drawing/2014/main" id="{FDA5BDF8-4F56-CCC3-1E8D-BCB4CE4AD009}"/>
                    </a:ext>
                  </a:extLst>
                </xdr:cNvPr>
                <xdr:cNvSpPr/>
              </xdr:nvSpPr>
              <xdr:spPr>
                <a:xfrm>
                  <a:off x="-303037" y="6263916"/>
                  <a:ext cx="982455" cy="5624146"/>
                </a:xfrm>
                <a:prstGeom prst="roundRect">
                  <a:avLst>
                    <a:gd name="adj" fmla="val 45568"/>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pic>
              <xdr:nvPicPr>
                <xdr:cNvPr id="29" name="Picture 28" descr="A yellow truck with boxes and a building&#10;&#10;AI-generated content may be incorrect.">
                  <a:hlinkClick xmlns:r="http://schemas.openxmlformats.org/officeDocument/2006/relationships" r:id="rId1"/>
                  <a:extLst>
                    <a:ext uri="{FF2B5EF4-FFF2-40B4-BE49-F238E27FC236}">
                      <a16:creationId xmlns:a16="http://schemas.microsoft.com/office/drawing/2014/main" id="{5C45D49D-826D-D350-F77B-38CEB7812A38}"/>
                    </a:ext>
                  </a:extLst>
                </xdr:cNvPr>
                <xdr:cNvPicPr>
                  <a:picLocks noChangeAspect="1"/>
                </xdr:cNvPicPr>
              </xdr:nvPicPr>
              <xdr:blipFill>
                <a:blip xmlns:r="http://schemas.openxmlformats.org/officeDocument/2006/relationships" r:embed="rId2">
                  <a:duotone>
                    <a:prstClr val="black"/>
                    <a:srgbClr val="B99653">
                      <a:tint val="45000"/>
                      <a:satMod val="400000"/>
                    </a:srgbClr>
                  </a:duotone>
                  <a:extLst>
                    <a:ext uri="{28A0092B-C50C-407E-A947-70E740481C1C}">
                      <a14:useLocalDpi xmlns:a14="http://schemas.microsoft.com/office/drawing/2010/main" val="0"/>
                    </a:ext>
                  </a:extLst>
                </a:blip>
                <a:stretch>
                  <a:fillRect/>
                </a:stretch>
              </xdr:blipFill>
              <xdr:spPr>
                <a:xfrm>
                  <a:off x="-235744" y="7164419"/>
                  <a:ext cx="827220" cy="827221"/>
                </a:xfrm>
                <a:prstGeom prst="rect">
                  <a:avLst/>
                </a:prstGeom>
              </xdr:spPr>
            </xdr:pic>
            <xdr:pic>
              <xdr:nvPicPr>
                <xdr:cNvPr id="30" name="Picture 29" descr="A group of people with stars above them&#10;&#10;AI-generated content may be incorrect.">
                  <a:hlinkClick xmlns:r="http://schemas.openxmlformats.org/officeDocument/2006/relationships" r:id="rId3"/>
                  <a:extLst>
                    <a:ext uri="{FF2B5EF4-FFF2-40B4-BE49-F238E27FC236}">
                      <a16:creationId xmlns:a16="http://schemas.microsoft.com/office/drawing/2014/main" id="{E310BAD8-BA97-43F2-3C2A-4FDEEAB7183A}"/>
                    </a:ext>
                  </a:extLst>
                </xdr:cNvPr>
                <xdr:cNvPicPr>
                  <a:picLocks noChangeAspect="1"/>
                </xdr:cNvPicPr>
              </xdr:nvPicPr>
              <xdr:blipFill>
                <a:blip xmlns:r="http://schemas.openxmlformats.org/officeDocument/2006/relationships" r:embed="rId4">
                  <a:duotone>
                    <a:prstClr val="black"/>
                    <a:srgbClr val="B99653">
                      <a:tint val="45000"/>
                      <a:satMod val="400000"/>
                    </a:srgbClr>
                  </a:duotone>
                  <a:extLst>
                    <a:ext uri="{28A0092B-C50C-407E-A947-70E740481C1C}">
                      <a14:useLocalDpi xmlns:a14="http://schemas.microsoft.com/office/drawing/2010/main" val="0"/>
                    </a:ext>
                  </a:extLst>
                </a:blip>
                <a:stretch>
                  <a:fillRect/>
                </a:stretch>
              </xdr:blipFill>
              <xdr:spPr>
                <a:xfrm>
                  <a:off x="-219881" y="8940296"/>
                  <a:ext cx="827220" cy="827219"/>
                </a:xfrm>
                <a:prstGeom prst="rect">
                  <a:avLst/>
                </a:prstGeom>
              </xdr:spPr>
            </xdr:pic>
          </xdr:grpSp>
          <xdr:sp macro="" textlink="">
            <xdr:nvSpPr>
              <xdr:cNvPr id="32" name="Rectangle: Rounded Corners 31">
                <a:extLst>
                  <a:ext uri="{FF2B5EF4-FFF2-40B4-BE49-F238E27FC236}">
                    <a16:creationId xmlns:a16="http://schemas.microsoft.com/office/drawing/2014/main" id="{46A55D11-DEC1-BC22-A447-8C6FC3812D5D}"/>
                  </a:ext>
                </a:extLst>
              </xdr:cNvPr>
              <xdr:cNvSpPr/>
            </xdr:nvSpPr>
            <xdr:spPr>
              <a:xfrm>
                <a:off x="18793140" y="9622466"/>
                <a:ext cx="7946558" cy="7557048"/>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3" name="Rectangle: Rounded Corners 32">
                <a:extLst>
                  <a:ext uri="{FF2B5EF4-FFF2-40B4-BE49-F238E27FC236}">
                    <a16:creationId xmlns:a16="http://schemas.microsoft.com/office/drawing/2014/main" id="{FCABEBCD-2FD0-C7C6-653C-2DD8F01CA054}"/>
                  </a:ext>
                </a:extLst>
              </xdr:cNvPr>
              <xdr:cNvSpPr/>
            </xdr:nvSpPr>
            <xdr:spPr>
              <a:xfrm>
                <a:off x="7864634" y="2380162"/>
                <a:ext cx="8010003" cy="7067724"/>
              </a:xfrm>
              <a:prstGeom prst="roundRect">
                <a:avLst>
                  <a:gd name="adj" fmla="val 6210"/>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5" name="Rectangle: Rounded Corners 34">
                <a:extLst>
                  <a:ext uri="{FF2B5EF4-FFF2-40B4-BE49-F238E27FC236}">
                    <a16:creationId xmlns:a16="http://schemas.microsoft.com/office/drawing/2014/main" id="{0F89BA83-16A1-9582-3D9B-B4EB01D226FA}"/>
                  </a:ext>
                </a:extLst>
              </xdr:cNvPr>
              <xdr:cNvSpPr/>
            </xdr:nvSpPr>
            <xdr:spPr>
              <a:xfrm>
                <a:off x="16049110" y="2372549"/>
                <a:ext cx="7819678" cy="7060324"/>
              </a:xfrm>
              <a:prstGeom prst="roundRect">
                <a:avLst>
                  <a:gd name="adj" fmla="val 5930"/>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Rectangle: Rounded Corners 49">
                <a:extLst>
                  <a:ext uri="{FF2B5EF4-FFF2-40B4-BE49-F238E27FC236}">
                    <a16:creationId xmlns:a16="http://schemas.microsoft.com/office/drawing/2014/main" id="{EE7D0D18-D418-FA3A-597B-21D280497091}"/>
                  </a:ext>
                </a:extLst>
              </xdr:cNvPr>
              <xdr:cNvSpPr/>
            </xdr:nvSpPr>
            <xdr:spPr>
              <a:xfrm>
                <a:off x="4345909" y="7258362"/>
                <a:ext cx="3337904" cy="223012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4" name="Rectangle: Rounded Corners 53">
                <a:extLst>
                  <a:ext uri="{FF2B5EF4-FFF2-40B4-BE49-F238E27FC236}">
                    <a16:creationId xmlns:a16="http://schemas.microsoft.com/office/drawing/2014/main" id="{DF784EAB-5E2D-AE57-72A7-5A66F305A7DF}"/>
                  </a:ext>
                </a:extLst>
              </xdr:cNvPr>
              <xdr:cNvSpPr/>
            </xdr:nvSpPr>
            <xdr:spPr>
              <a:xfrm>
                <a:off x="4345909" y="4890318"/>
                <a:ext cx="3337904" cy="223012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5" name="Rectangle: Rounded Corners 54">
                <a:extLst>
                  <a:ext uri="{FF2B5EF4-FFF2-40B4-BE49-F238E27FC236}">
                    <a16:creationId xmlns:a16="http://schemas.microsoft.com/office/drawing/2014/main" id="{B7920211-1DD3-A8E9-C801-7192616EBA28}"/>
                  </a:ext>
                </a:extLst>
              </xdr:cNvPr>
              <xdr:cNvSpPr/>
            </xdr:nvSpPr>
            <xdr:spPr>
              <a:xfrm>
                <a:off x="4345909" y="2522275"/>
                <a:ext cx="3337904" cy="223012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6" name="Rectangle: Rounded Corners 55">
                <a:extLst>
                  <a:ext uri="{FF2B5EF4-FFF2-40B4-BE49-F238E27FC236}">
                    <a16:creationId xmlns:a16="http://schemas.microsoft.com/office/drawing/2014/main" id="{90B978B9-1185-D9F0-68D7-67F1211B6A86}"/>
                  </a:ext>
                </a:extLst>
              </xdr:cNvPr>
              <xdr:cNvSpPr/>
            </xdr:nvSpPr>
            <xdr:spPr>
              <a:xfrm>
                <a:off x="932539" y="7254430"/>
                <a:ext cx="3337904" cy="223012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7" name="Rectangle: Rounded Corners 56">
                <a:extLst>
                  <a:ext uri="{FF2B5EF4-FFF2-40B4-BE49-F238E27FC236}">
                    <a16:creationId xmlns:a16="http://schemas.microsoft.com/office/drawing/2014/main" id="{1C1D8181-2833-7CAC-3FCB-36C5E56346EA}"/>
                  </a:ext>
                </a:extLst>
              </xdr:cNvPr>
              <xdr:cNvSpPr/>
            </xdr:nvSpPr>
            <xdr:spPr>
              <a:xfrm>
                <a:off x="932539" y="4886387"/>
                <a:ext cx="3337904" cy="223012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8" name="Rectangle: Rounded Corners 57">
                <a:extLst>
                  <a:ext uri="{FF2B5EF4-FFF2-40B4-BE49-F238E27FC236}">
                    <a16:creationId xmlns:a16="http://schemas.microsoft.com/office/drawing/2014/main" id="{40D49822-9E8C-B0F3-EA5A-190EE11543D0}"/>
                  </a:ext>
                </a:extLst>
              </xdr:cNvPr>
              <xdr:cNvSpPr/>
            </xdr:nvSpPr>
            <xdr:spPr>
              <a:xfrm>
                <a:off x="932539" y="2518343"/>
                <a:ext cx="3337904" cy="223012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8" name="Rectangle: Rounded Corners 67">
                <a:extLst>
                  <a:ext uri="{FF2B5EF4-FFF2-40B4-BE49-F238E27FC236}">
                    <a16:creationId xmlns:a16="http://schemas.microsoft.com/office/drawing/2014/main" id="{E9A93816-E83A-F57B-2F82-E9B8B42B49E2}"/>
                  </a:ext>
                </a:extLst>
              </xdr:cNvPr>
              <xdr:cNvSpPr/>
            </xdr:nvSpPr>
            <xdr:spPr>
              <a:xfrm>
                <a:off x="8730003" y="9635765"/>
                <a:ext cx="9920383" cy="7583138"/>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pic>
          <xdr:nvPicPr>
            <xdr:cNvPr id="40" name="Picture 39">
              <a:hlinkClick xmlns:r="http://schemas.openxmlformats.org/officeDocument/2006/relationships" r:id="rId5"/>
              <a:extLst>
                <a:ext uri="{FF2B5EF4-FFF2-40B4-BE49-F238E27FC236}">
                  <a16:creationId xmlns:a16="http://schemas.microsoft.com/office/drawing/2014/main" id="{F28B4DA5-CE2E-EB6E-B1F4-81A8499FE17B}"/>
                </a:ext>
              </a:extLst>
            </xdr:cNvPr>
            <xdr:cNvPicPr>
              <a:picLocks noChangeAspect="1" noChangeArrowheads="1"/>
            </xdr:cNvPicPr>
          </xdr:nvPicPr>
          <xdr:blipFill>
            <a:blip xmlns:r="http://schemas.openxmlformats.org/officeDocument/2006/relationships" r:embed="rId6">
              <a:duotone>
                <a:prstClr val="black"/>
                <a:srgbClr val="B99653">
                  <a:tint val="45000"/>
                  <a:satMod val="400000"/>
                </a:srgbClr>
              </a:duotone>
              <a:extLst>
                <a:ext uri="{28A0092B-C50C-407E-A947-70E740481C1C}">
                  <a14:useLocalDpi xmlns:a14="http://schemas.microsoft.com/office/drawing/2010/main" val="0"/>
                </a:ext>
              </a:extLst>
            </a:blip>
            <a:srcRect/>
            <a:stretch>
              <a:fillRect/>
            </a:stretch>
          </xdr:blipFill>
          <xdr:spPr bwMode="auto">
            <a:xfrm>
              <a:off x="761999" y="5673811"/>
              <a:ext cx="483973" cy="491520"/>
            </a:xfrm>
            <a:prstGeom prst="rect">
              <a:avLst/>
            </a:prstGeom>
            <a:noFill/>
            <a:extLst>
              <a:ext uri="{909E8E84-426E-40DD-AFC4-6F175D3DCCD1}">
                <a14:hiddenFill xmlns:a14="http://schemas.microsoft.com/office/drawing/2010/main">
                  <a:solidFill>
                    <a:srgbClr val="FFFFFF"/>
                  </a:solidFill>
                </a14:hiddenFill>
              </a:ext>
            </a:extLst>
          </xdr:spPr>
        </xdr:pic>
      </xdr:grpSp>
      <xdr:sp macro="" textlink="Total_shipping_cost">
        <xdr:nvSpPr>
          <xdr:cNvPr id="44" name="TextBox 43">
            <a:extLst>
              <a:ext uri="{FF2B5EF4-FFF2-40B4-BE49-F238E27FC236}">
                <a16:creationId xmlns:a16="http://schemas.microsoft.com/office/drawing/2014/main" id="{84C9E5BA-BA7B-C647-5238-D16386C50EC7}"/>
              </a:ext>
            </a:extLst>
          </xdr:cNvPr>
          <xdr:cNvSpPr txBox="1"/>
        </xdr:nvSpPr>
        <xdr:spPr>
          <a:xfrm>
            <a:off x="2154194" y="4477266"/>
            <a:ext cx="1101810"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75F9F32-BE25-4C69-8463-F2ADBAD9DA50}" type="TxLink">
              <a:rPr lang="en-US" sz="2400" b="0" i="0" u="none" strike="noStrike">
                <a:solidFill>
                  <a:srgbClr val="B99653"/>
                </a:solidFill>
                <a:latin typeface="Aptos SemiBold" panose="020B0004020202020204" pitchFamily="34" charset="0"/>
                <a:ea typeface="+mn-ea"/>
                <a:cs typeface="+mn-cs"/>
              </a:rPr>
              <a:pPr marL="0" indent="0" algn="ctr"/>
              <a:t>$555</a:t>
            </a:fld>
            <a:endParaRPr lang="en-US" sz="2400" b="0" i="0" u="none" strike="noStrike">
              <a:solidFill>
                <a:srgbClr val="B99653"/>
              </a:solidFill>
              <a:latin typeface="Aptos SemiBold" panose="020B0004020202020204" pitchFamily="34" charset="0"/>
              <a:ea typeface="+mn-ea"/>
              <a:cs typeface="+mn-cs"/>
            </a:endParaRPr>
          </a:p>
        </xdr:txBody>
      </xdr:sp>
      <xdr:sp macro="" textlink="Revenue">
        <xdr:nvSpPr>
          <xdr:cNvPr id="45" name="TextBox 44">
            <a:extLst>
              <a:ext uri="{FF2B5EF4-FFF2-40B4-BE49-F238E27FC236}">
                <a16:creationId xmlns:a16="http://schemas.microsoft.com/office/drawing/2014/main" id="{5B98DA7A-FCCB-318F-55A9-F56AECD67AA6}"/>
              </a:ext>
            </a:extLst>
          </xdr:cNvPr>
          <xdr:cNvSpPr txBox="1"/>
        </xdr:nvSpPr>
        <xdr:spPr>
          <a:xfrm>
            <a:off x="2028567" y="2019301"/>
            <a:ext cx="1307756"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B71825-351D-41A1-A498-B9AF233E6AA1}" type="TxLink">
              <a:rPr lang="en-US" sz="2400" b="0" i="0" u="none" strike="noStrike">
                <a:solidFill>
                  <a:srgbClr val="B99653"/>
                </a:solidFill>
                <a:latin typeface="Aptos SemiBold" panose="020B0004020202020204" pitchFamily="34" charset="0"/>
              </a:rPr>
              <a:t>$2.29M</a:t>
            </a:fld>
            <a:endParaRPr lang="en-US" sz="2400">
              <a:solidFill>
                <a:srgbClr val="B99653"/>
              </a:solidFill>
              <a:latin typeface="Aptos SemiBold" panose="020B0004020202020204" pitchFamily="34" charset="0"/>
            </a:endParaRPr>
          </a:p>
        </xdr:txBody>
      </xdr:sp>
      <xdr:sp macro="" textlink="Product_Sold">
        <xdr:nvSpPr>
          <xdr:cNvPr id="46" name="TextBox 45">
            <a:extLst>
              <a:ext uri="{FF2B5EF4-FFF2-40B4-BE49-F238E27FC236}">
                <a16:creationId xmlns:a16="http://schemas.microsoft.com/office/drawing/2014/main" id="{640BDBF5-7F47-5040-DD78-2ABB7001E75F}"/>
              </a:ext>
            </a:extLst>
          </xdr:cNvPr>
          <xdr:cNvSpPr txBox="1"/>
        </xdr:nvSpPr>
        <xdr:spPr>
          <a:xfrm>
            <a:off x="1575486" y="1507524"/>
            <a:ext cx="2213919" cy="613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chemeClr val="bg1">
                    <a:lumMod val="65000"/>
                  </a:schemeClr>
                </a:solidFill>
                <a:latin typeface="Aptos SemiBold" panose="020B0004020202020204" pitchFamily="34" charset="0"/>
              </a:rPr>
              <a:t>Revenue Generated</a:t>
            </a:r>
            <a:endParaRPr lang="en-US" sz="1800">
              <a:solidFill>
                <a:schemeClr val="bg1">
                  <a:lumMod val="65000"/>
                </a:schemeClr>
              </a:solidFill>
              <a:latin typeface="Aptos SemiBold" panose="020B0004020202020204" pitchFamily="34" charset="0"/>
            </a:endParaRPr>
          </a:p>
        </xdr:txBody>
      </xdr:sp>
      <xdr:sp macro="" textlink="">
        <xdr:nvSpPr>
          <xdr:cNvPr id="49" name="TextBox 48">
            <a:extLst>
              <a:ext uri="{FF2B5EF4-FFF2-40B4-BE49-F238E27FC236}">
                <a16:creationId xmlns:a16="http://schemas.microsoft.com/office/drawing/2014/main" id="{FD543CCD-D28C-604D-9060-7F2B8E51B4C0}"/>
              </a:ext>
            </a:extLst>
          </xdr:cNvPr>
          <xdr:cNvSpPr txBox="1"/>
        </xdr:nvSpPr>
        <xdr:spPr>
          <a:xfrm>
            <a:off x="1600199" y="3989172"/>
            <a:ext cx="2209801" cy="42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chemeClr val="bg1">
                    <a:lumMod val="65000"/>
                  </a:schemeClr>
                </a:solidFill>
                <a:latin typeface="Aptos SemiBold" panose="020B0004020202020204" pitchFamily="34" charset="0"/>
              </a:rPr>
              <a:t>Total</a:t>
            </a:r>
            <a:r>
              <a:rPr lang="en-US" sz="1800" b="0" i="0" u="none" strike="noStrike" baseline="0">
                <a:solidFill>
                  <a:schemeClr val="bg1">
                    <a:lumMod val="65000"/>
                  </a:schemeClr>
                </a:solidFill>
                <a:latin typeface="Aptos SemiBold" panose="020B0004020202020204" pitchFamily="34" charset="0"/>
              </a:rPr>
              <a:t> Shipping Cost</a:t>
            </a:r>
            <a:endParaRPr lang="en-US" sz="1800" b="0" i="0" u="none" strike="noStrike">
              <a:solidFill>
                <a:schemeClr val="bg1">
                  <a:lumMod val="65000"/>
                </a:schemeClr>
              </a:solidFill>
              <a:latin typeface="Aptos SemiBold" panose="020B0004020202020204" pitchFamily="34" charset="0"/>
            </a:endParaRPr>
          </a:p>
        </xdr:txBody>
      </xdr:sp>
      <xdr:sp macro="" textlink="Avg_Transportation_Cost">
        <xdr:nvSpPr>
          <xdr:cNvPr id="59" name="TextBox 58">
            <a:extLst>
              <a:ext uri="{FF2B5EF4-FFF2-40B4-BE49-F238E27FC236}">
                <a16:creationId xmlns:a16="http://schemas.microsoft.com/office/drawing/2014/main" id="{887BE6F3-7E3A-A184-CC9B-303396A4F63F}"/>
              </a:ext>
            </a:extLst>
          </xdr:cNvPr>
          <xdr:cNvSpPr txBox="1"/>
        </xdr:nvSpPr>
        <xdr:spPr>
          <a:xfrm>
            <a:off x="4352668" y="3321910"/>
            <a:ext cx="1101810"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5FCC2A5-F13F-4117-B63E-A78CA251451F}" type="TxLink">
              <a:rPr lang="en-US" sz="2400" b="0" i="0" u="none" strike="noStrike">
                <a:solidFill>
                  <a:srgbClr val="B99653"/>
                </a:solidFill>
                <a:latin typeface="Aptos SemiBold" panose="020B0004020202020204" pitchFamily="34" charset="0"/>
                <a:ea typeface="+mn-ea"/>
                <a:cs typeface="+mn-cs"/>
              </a:rPr>
              <a:pPr marL="0" indent="0" algn="ctr"/>
              <a:t>$529</a:t>
            </a:fld>
            <a:endParaRPr lang="en-US" sz="2400" b="0" i="0" u="none" strike="noStrike">
              <a:solidFill>
                <a:srgbClr val="B99653"/>
              </a:solidFill>
              <a:latin typeface="Aptos SemiBold" panose="020B0004020202020204" pitchFamily="34" charset="0"/>
              <a:ea typeface="+mn-ea"/>
              <a:cs typeface="+mn-cs"/>
            </a:endParaRPr>
          </a:p>
        </xdr:txBody>
      </xdr:sp>
      <xdr:sp macro="" textlink="Product_Sold">
        <xdr:nvSpPr>
          <xdr:cNvPr id="60" name="TextBox 59">
            <a:extLst>
              <a:ext uri="{FF2B5EF4-FFF2-40B4-BE49-F238E27FC236}">
                <a16:creationId xmlns:a16="http://schemas.microsoft.com/office/drawing/2014/main" id="{143509AB-8BB7-6755-BB22-A8ABA5C7F6F7}"/>
              </a:ext>
            </a:extLst>
          </xdr:cNvPr>
          <xdr:cNvSpPr txBox="1"/>
        </xdr:nvSpPr>
        <xdr:spPr>
          <a:xfrm>
            <a:off x="3824417" y="2712306"/>
            <a:ext cx="2158313" cy="778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lumMod val="65000"/>
                  </a:schemeClr>
                </a:solidFill>
                <a:latin typeface="Aptos SemiBold" panose="020B0004020202020204" pitchFamily="34" charset="0"/>
              </a:rPr>
              <a:t>Avg</a:t>
            </a:r>
            <a:r>
              <a:rPr lang="en-US" sz="1800" baseline="0">
                <a:solidFill>
                  <a:schemeClr val="bg1">
                    <a:lumMod val="65000"/>
                  </a:schemeClr>
                </a:solidFill>
                <a:latin typeface="Aptos SemiBold" panose="020B0004020202020204" pitchFamily="34" charset="0"/>
              </a:rPr>
              <a:t> Transportation cost</a:t>
            </a:r>
            <a:endParaRPr lang="en-US" sz="1800">
              <a:solidFill>
                <a:schemeClr val="bg1">
                  <a:lumMod val="65000"/>
                </a:schemeClr>
              </a:solidFill>
              <a:latin typeface="Aptos SemiBold" panose="020B0004020202020204" pitchFamily="34" charset="0"/>
            </a:endParaRPr>
          </a:p>
        </xdr:txBody>
      </xdr:sp>
      <xdr:sp macro="" textlink="Avg_Shipping_Time">
        <xdr:nvSpPr>
          <xdr:cNvPr id="61" name="TextBox 60">
            <a:extLst>
              <a:ext uri="{FF2B5EF4-FFF2-40B4-BE49-F238E27FC236}">
                <a16:creationId xmlns:a16="http://schemas.microsoft.com/office/drawing/2014/main" id="{F1604039-A689-BB85-D23F-E3E1B843DEC5}"/>
              </a:ext>
            </a:extLst>
          </xdr:cNvPr>
          <xdr:cNvSpPr txBox="1"/>
        </xdr:nvSpPr>
        <xdr:spPr>
          <a:xfrm>
            <a:off x="4324864" y="4506098"/>
            <a:ext cx="1101810"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7F7F122-03C3-4977-9CF1-D07C52073531}" type="TxLink">
              <a:rPr lang="en-US" sz="2400" b="0" i="0" u="none" strike="noStrike">
                <a:solidFill>
                  <a:srgbClr val="B99653"/>
                </a:solidFill>
                <a:latin typeface="Aptos SemiBold" panose="020B0004020202020204" pitchFamily="34" charset="0"/>
                <a:ea typeface="+mn-ea"/>
                <a:cs typeface="+mn-cs"/>
              </a:rPr>
              <a:pPr marL="0" indent="0" algn="ctr"/>
              <a:t>6</a:t>
            </a:fld>
            <a:endParaRPr lang="en-US" sz="2400" b="0" i="0" u="none" strike="noStrike">
              <a:solidFill>
                <a:srgbClr val="B99653"/>
              </a:solidFill>
              <a:latin typeface="Aptos SemiBold" panose="020B0004020202020204" pitchFamily="34" charset="0"/>
              <a:ea typeface="+mn-ea"/>
              <a:cs typeface="+mn-cs"/>
            </a:endParaRPr>
          </a:p>
        </xdr:txBody>
      </xdr:sp>
      <xdr:sp macro="" textlink="">
        <xdr:nvSpPr>
          <xdr:cNvPr id="62" name="TextBox 61">
            <a:extLst>
              <a:ext uri="{FF2B5EF4-FFF2-40B4-BE49-F238E27FC236}">
                <a16:creationId xmlns:a16="http://schemas.microsoft.com/office/drawing/2014/main" id="{65B658CB-146A-F020-85F0-A0CAE6E92F81}"/>
              </a:ext>
            </a:extLst>
          </xdr:cNvPr>
          <xdr:cNvSpPr txBox="1"/>
        </xdr:nvSpPr>
        <xdr:spPr>
          <a:xfrm>
            <a:off x="3770869" y="4018005"/>
            <a:ext cx="2209801" cy="440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baseline="0">
                <a:solidFill>
                  <a:schemeClr val="bg1">
                    <a:lumMod val="65000"/>
                  </a:schemeClr>
                </a:solidFill>
                <a:latin typeface="Aptos SemiBold" panose="020B0004020202020204" pitchFamily="34" charset="0"/>
              </a:rPr>
              <a:t>Avg Shipping Time</a:t>
            </a:r>
            <a:endParaRPr lang="en-US" sz="1800" b="0" i="0" u="none" strike="noStrike">
              <a:solidFill>
                <a:schemeClr val="bg1">
                  <a:lumMod val="65000"/>
                </a:schemeClr>
              </a:solidFill>
              <a:latin typeface="Aptos SemiBold" panose="020B0004020202020204" pitchFamily="34" charset="0"/>
            </a:endParaRPr>
          </a:p>
        </xdr:txBody>
      </xdr:sp>
      <xdr:graphicFrame macro="">
        <xdr:nvGraphicFramePr>
          <xdr:cNvPr id="63" name="Chart 62">
            <a:extLst>
              <a:ext uri="{FF2B5EF4-FFF2-40B4-BE49-F238E27FC236}">
                <a16:creationId xmlns:a16="http://schemas.microsoft.com/office/drawing/2014/main" id="{83C7016A-6421-43E1-9DBB-BD4F0769A711}"/>
              </a:ext>
            </a:extLst>
          </xdr:cNvPr>
          <xdr:cNvGraphicFramePr>
            <a:graphicFrameLocks/>
          </xdr:cNvGraphicFramePr>
        </xdr:nvGraphicFramePr>
        <xdr:xfrm>
          <a:off x="6157785" y="1924436"/>
          <a:ext cx="5055972" cy="312124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4" name="TextBox 63">
            <a:extLst>
              <a:ext uri="{FF2B5EF4-FFF2-40B4-BE49-F238E27FC236}">
                <a16:creationId xmlns:a16="http://schemas.microsoft.com/office/drawing/2014/main" id="{83B29A4E-E6AB-B88E-3BCE-32037A6992F7}"/>
              </a:ext>
            </a:extLst>
          </xdr:cNvPr>
          <xdr:cNvSpPr txBox="1"/>
        </xdr:nvSpPr>
        <xdr:spPr>
          <a:xfrm>
            <a:off x="6276203" y="1493108"/>
            <a:ext cx="4819136" cy="607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What is the total revenue generated by the various shipping carriers?</a:t>
            </a:r>
          </a:p>
        </xdr:txBody>
      </xdr:sp>
      <xdr:graphicFrame macro="">
        <xdr:nvGraphicFramePr>
          <xdr:cNvPr id="65" name="Chart 64">
            <a:extLst>
              <a:ext uri="{FF2B5EF4-FFF2-40B4-BE49-F238E27FC236}">
                <a16:creationId xmlns:a16="http://schemas.microsoft.com/office/drawing/2014/main" id="{F4388394-1CE3-477C-9D03-AB3003DE80E3}"/>
              </a:ext>
            </a:extLst>
          </xdr:cNvPr>
          <xdr:cNvGraphicFramePr>
            <a:graphicFrameLocks/>
          </xdr:cNvGraphicFramePr>
        </xdr:nvGraphicFramePr>
        <xdr:xfrm>
          <a:off x="11512379" y="1915297"/>
          <a:ext cx="4829432" cy="3009772"/>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6" name="TextBox 65">
            <a:extLst>
              <a:ext uri="{FF2B5EF4-FFF2-40B4-BE49-F238E27FC236}">
                <a16:creationId xmlns:a16="http://schemas.microsoft.com/office/drawing/2014/main" id="{0D1C28EF-9170-95EC-6A6C-E8C7BDC3AABA}"/>
              </a:ext>
            </a:extLst>
          </xdr:cNvPr>
          <xdr:cNvSpPr txBox="1"/>
        </xdr:nvSpPr>
        <xdr:spPr>
          <a:xfrm>
            <a:off x="11605054" y="1470453"/>
            <a:ext cx="4561703" cy="413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What are the various shipping costs by Carriers?</a:t>
            </a:r>
          </a:p>
        </xdr:txBody>
      </xdr:sp>
      <xdr:graphicFrame macro="">
        <xdr:nvGraphicFramePr>
          <xdr:cNvPr id="67" name="Chart 66">
            <a:extLst>
              <a:ext uri="{FF2B5EF4-FFF2-40B4-BE49-F238E27FC236}">
                <a16:creationId xmlns:a16="http://schemas.microsoft.com/office/drawing/2014/main" id="{3121D834-0CE2-4CAE-A524-2ACF23A5555E}"/>
              </a:ext>
            </a:extLst>
          </xdr:cNvPr>
          <xdr:cNvGraphicFramePr>
            <a:graphicFrameLocks/>
          </xdr:cNvGraphicFramePr>
        </xdr:nvGraphicFramePr>
        <xdr:xfrm>
          <a:off x="1575486" y="5817972"/>
          <a:ext cx="4685271" cy="3356919"/>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9" name="TextBox 68">
            <a:extLst>
              <a:ext uri="{FF2B5EF4-FFF2-40B4-BE49-F238E27FC236}">
                <a16:creationId xmlns:a16="http://schemas.microsoft.com/office/drawing/2014/main" id="{C9130137-718F-1178-015D-B3D3981E1AF2}"/>
              </a:ext>
            </a:extLst>
          </xdr:cNvPr>
          <xdr:cNvSpPr txBox="1"/>
        </xdr:nvSpPr>
        <xdr:spPr>
          <a:xfrm>
            <a:off x="1557982" y="5373130"/>
            <a:ext cx="4819136" cy="36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Cost distribution by various transport mode</a:t>
            </a:r>
          </a:p>
        </xdr:txBody>
      </xdr:sp>
      <xdr:sp macro="" textlink="">
        <xdr:nvSpPr>
          <xdr:cNvPr id="71" name="TextBox 70">
            <a:extLst>
              <a:ext uri="{FF2B5EF4-FFF2-40B4-BE49-F238E27FC236}">
                <a16:creationId xmlns:a16="http://schemas.microsoft.com/office/drawing/2014/main" id="{1E762062-4E13-D4AC-3396-80AB1FBCD73E}"/>
              </a:ext>
            </a:extLst>
          </xdr:cNvPr>
          <xdr:cNvSpPr txBox="1"/>
        </xdr:nvSpPr>
        <xdr:spPr>
          <a:xfrm>
            <a:off x="7424609" y="5298989"/>
            <a:ext cx="4819136" cy="59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What are the average defect rates by transportation mode and product type?</a:t>
            </a:r>
          </a:p>
        </xdr:txBody>
      </xdr:sp>
      <xdr:graphicFrame macro="">
        <xdr:nvGraphicFramePr>
          <xdr:cNvPr id="72" name="Chart 71">
            <a:extLst>
              <a:ext uri="{FF2B5EF4-FFF2-40B4-BE49-F238E27FC236}">
                <a16:creationId xmlns:a16="http://schemas.microsoft.com/office/drawing/2014/main" id="{853E0135-FE75-4BE9-9268-F530B1AF02FD}"/>
              </a:ext>
            </a:extLst>
          </xdr:cNvPr>
          <xdr:cNvGraphicFramePr>
            <a:graphicFrameLocks/>
          </xdr:cNvGraphicFramePr>
        </xdr:nvGraphicFramePr>
        <xdr:xfrm>
          <a:off x="6652570" y="5837409"/>
          <a:ext cx="6363214" cy="3296293"/>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3" name="TextBox 72">
            <a:extLst>
              <a:ext uri="{FF2B5EF4-FFF2-40B4-BE49-F238E27FC236}">
                <a16:creationId xmlns:a16="http://schemas.microsoft.com/office/drawing/2014/main" id="{01FDCA03-BCAC-65E1-563B-E92936251CF3}"/>
              </a:ext>
            </a:extLst>
          </xdr:cNvPr>
          <xdr:cNvSpPr txBox="1"/>
        </xdr:nvSpPr>
        <xdr:spPr>
          <a:xfrm>
            <a:off x="13322901" y="5286634"/>
            <a:ext cx="4819136" cy="665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Which transportation model is used most frequently &amp;</a:t>
            </a:r>
            <a:r>
              <a:rPr lang="en-US" sz="1400" baseline="0">
                <a:solidFill>
                  <a:schemeClr val="bg1">
                    <a:lumMod val="65000"/>
                  </a:schemeClr>
                </a:solidFill>
                <a:latin typeface="Aptos SemiBold" panose="020B0004020202020204" pitchFamily="34" charset="0"/>
                <a:ea typeface="+mn-ea"/>
                <a:cs typeface="+mn-cs"/>
              </a:rPr>
              <a:t> how fast do they deliver</a:t>
            </a:r>
            <a:r>
              <a:rPr lang="en-US" sz="1400">
                <a:solidFill>
                  <a:schemeClr val="bg1">
                    <a:lumMod val="65000"/>
                  </a:schemeClr>
                </a:solidFill>
                <a:latin typeface="Aptos SemiBold" panose="020B0004020202020204" pitchFamily="34" charset="0"/>
                <a:ea typeface="+mn-ea"/>
                <a:cs typeface="+mn-cs"/>
              </a:rPr>
              <a:t>?</a:t>
            </a:r>
          </a:p>
        </xdr:txBody>
      </xdr:sp>
      <xdr:graphicFrame macro="">
        <xdr:nvGraphicFramePr>
          <xdr:cNvPr id="74" name="Chart 73">
            <a:extLst>
              <a:ext uri="{FF2B5EF4-FFF2-40B4-BE49-F238E27FC236}">
                <a16:creationId xmlns:a16="http://schemas.microsoft.com/office/drawing/2014/main" id="{D17BA429-7BA6-4670-9B9F-2DC826D35EF4}"/>
              </a:ext>
            </a:extLst>
          </xdr:cNvPr>
          <xdr:cNvGraphicFramePr>
            <a:graphicFrameLocks/>
          </xdr:cNvGraphicFramePr>
        </xdr:nvGraphicFramePr>
        <xdr:xfrm>
          <a:off x="13211433" y="5848865"/>
          <a:ext cx="5097162" cy="3305431"/>
        </xdr:xfrm>
        <a:graphic>
          <a:graphicData uri="http://schemas.openxmlformats.org/drawingml/2006/chart">
            <c:chart xmlns:c="http://schemas.openxmlformats.org/drawingml/2006/chart" xmlns:r="http://schemas.openxmlformats.org/officeDocument/2006/relationships" r:id="rId11"/>
          </a:graphicData>
        </a:graphic>
      </xdr:graphicFrame>
      <xdr:sp macro="" textlink="Orders">
        <xdr:nvSpPr>
          <xdr:cNvPr id="75" name="TextBox 74">
            <a:extLst>
              <a:ext uri="{FF2B5EF4-FFF2-40B4-BE49-F238E27FC236}">
                <a16:creationId xmlns:a16="http://schemas.microsoft.com/office/drawing/2014/main" id="{9BEEC3FA-09F7-4A1C-A80E-CEEDC2F3CE84}"/>
              </a:ext>
            </a:extLst>
          </xdr:cNvPr>
          <xdr:cNvSpPr txBox="1"/>
        </xdr:nvSpPr>
        <xdr:spPr>
          <a:xfrm>
            <a:off x="4309416" y="2029470"/>
            <a:ext cx="1101810"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760A15-D77F-46E3-A706-68FED01E31DC}" type="TxLink">
              <a:rPr lang="en-US" sz="2400" b="0" i="0" u="none" strike="noStrike">
                <a:solidFill>
                  <a:srgbClr val="B99653"/>
                </a:solidFill>
                <a:latin typeface="Aptos SemiBold" panose="020B0004020202020204" pitchFamily="34" charset="0"/>
                <a:ea typeface="+mn-ea"/>
                <a:cs typeface="+mn-cs"/>
              </a:rPr>
              <a:pPr marL="0" indent="0" algn="ctr"/>
              <a:t>4.9K</a:t>
            </a:fld>
            <a:endParaRPr lang="en-US" sz="2400" b="0" i="0" u="none" strike="noStrike">
              <a:solidFill>
                <a:srgbClr val="B99653"/>
              </a:solidFill>
              <a:latin typeface="Aptos SemiBold" panose="020B0004020202020204" pitchFamily="34" charset="0"/>
              <a:ea typeface="+mn-ea"/>
              <a:cs typeface="+mn-cs"/>
            </a:endParaRPr>
          </a:p>
        </xdr:txBody>
      </xdr:sp>
      <xdr:sp macro="" textlink="Product_Sold">
        <xdr:nvSpPr>
          <xdr:cNvPr id="76" name="TextBox 75">
            <a:extLst>
              <a:ext uri="{FF2B5EF4-FFF2-40B4-BE49-F238E27FC236}">
                <a16:creationId xmlns:a16="http://schemas.microsoft.com/office/drawing/2014/main" id="{4A4F4EB4-1EF3-4625-B369-5D0CCA7B68D0}"/>
              </a:ext>
            </a:extLst>
          </xdr:cNvPr>
          <xdr:cNvSpPr txBox="1"/>
        </xdr:nvSpPr>
        <xdr:spPr>
          <a:xfrm>
            <a:off x="4067430" y="1543436"/>
            <a:ext cx="1585783" cy="385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lumMod val="65000"/>
                  </a:schemeClr>
                </a:solidFill>
                <a:latin typeface="Aptos SemiBold" panose="020B0004020202020204" pitchFamily="34" charset="0"/>
              </a:rPr>
              <a:t>Total Orders</a:t>
            </a:r>
          </a:p>
        </xdr:txBody>
      </xdr:sp>
      <xdr:sp macro="" textlink="Avg">
        <xdr:nvSpPr>
          <xdr:cNvPr id="77" name="TextBox 76">
            <a:extLst>
              <a:ext uri="{FF2B5EF4-FFF2-40B4-BE49-F238E27FC236}">
                <a16:creationId xmlns:a16="http://schemas.microsoft.com/office/drawing/2014/main" id="{762A7A06-5239-26CD-26D5-A18C894CF3B2}"/>
              </a:ext>
            </a:extLst>
          </xdr:cNvPr>
          <xdr:cNvSpPr txBox="1"/>
        </xdr:nvSpPr>
        <xdr:spPr>
          <a:xfrm>
            <a:off x="2083140" y="3345464"/>
            <a:ext cx="1101810"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92C319-6272-4A8B-A0C5-14D53F0546D2}" type="TxLink">
              <a:rPr lang="en-US" sz="2400" b="0" i="0" u="none" strike="noStrike">
                <a:solidFill>
                  <a:srgbClr val="B99653"/>
                </a:solidFill>
                <a:latin typeface="Aptos SemiBold" panose="020B0004020202020204" pitchFamily="34" charset="0"/>
                <a:ea typeface="+mn-ea"/>
                <a:cs typeface="+mn-cs"/>
              </a:rPr>
              <a:pPr marL="0" indent="0" algn="ctr"/>
              <a:t>15.96</a:t>
            </a:fld>
            <a:endParaRPr lang="en-US" sz="2400" b="0" i="0" u="none" strike="noStrike">
              <a:solidFill>
                <a:srgbClr val="B99653"/>
              </a:solidFill>
              <a:latin typeface="Aptos SemiBold" panose="020B0004020202020204" pitchFamily="34" charset="0"/>
              <a:ea typeface="+mn-ea"/>
              <a:cs typeface="+mn-cs"/>
            </a:endParaRPr>
          </a:p>
        </xdr:txBody>
      </xdr:sp>
      <xdr:sp macro="" textlink="Product_Sold">
        <xdr:nvSpPr>
          <xdr:cNvPr id="78" name="TextBox 77">
            <a:extLst>
              <a:ext uri="{FF2B5EF4-FFF2-40B4-BE49-F238E27FC236}">
                <a16:creationId xmlns:a16="http://schemas.microsoft.com/office/drawing/2014/main" id="{699462BB-5A61-E93B-D28B-40ADCF3D204F}"/>
              </a:ext>
            </a:extLst>
          </xdr:cNvPr>
          <xdr:cNvSpPr txBox="1"/>
        </xdr:nvSpPr>
        <xdr:spPr>
          <a:xfrm>
            <a:off x="1604316" y="2735862"/>
            <a:ext cx="2092414" cy="66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lumMod val="65000"/>
                  </a:schemeClr>
                </a:solidFill>
                <a:latin typeface="Aptos SemiBold" panose="020B0004020202020204" pitchFamily="34" charset="0"/>
              </a:rPr>
              <a:t>Avg Supply Lead Time</a:t>
            </a:r>
          </a:p>
        </xdr:txBody>
      </xdr:sp>
      <mc:AlternateContent xmlns:mc="http://schemas.openxmlformats.org/markup-compatibility/2006">
        <mc:Choice xmlns:a14="http://schemas.microsoft.com/office/drawing/2010/main" Requires="a14">
          <xdr:graphicFrame macro="">
            <xdr:nvGraphicFramePr>
              <xdr:cNvPr id="82" name="Customer demographics">
                <a:extLst>
                  <a:ext uri="{FF2B5EF4-FFF2-40B4-BE49-F238E27FC236}">
                    <a16:creationId xmlns:a16="http://schemas.microsoft.com/office/drawing/2014/main" id="{BD59382B-C5FB-7C17-CCAD-1F97968E5AD2}"/>
                  </a:ext>
                </a:extLst>
              </xdr:cNvPr>
              <xdr:cNvGraphicFramePr/>
            </xdr:nvGraphicFramePr>
            <xdr:xfrm>
              <a:off x="8832404" y="515896"/>
              <a:ext cx="4924785" cy="863942"/>
            </xdr:xfrm>
            <a:graphic>
              <a:graphicData uri="http://schemas.microsoft.com/office/drawing/2010/slicer">
                <sle:slicer xmlns:sle="http://schemas.microsoft.com/office/drawing/2010/slicer" name="Customer demographics"/>
              </a:graphicData>
            </a:graphic>
          </xdr:graphicFrame>
        </mc:Choice>
        <mc:Fallback>
          <xdr:sp macro="" textlink="">
            <xdr:nvSpPr>
              <xdr:cNvPr id="0" name=""/>
              <xdr:cNvSpPr>
                <a:spLocks noTextEdit="1"/>
              </xdr:cNvSpPr>
            </xdr:nvSpPr>
            <xdr:spPr>
              <a:xfrm>
                <a:off x="8935374" y="773325"/>
                <a:ext cx="4924785" cy="863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3" name="Location">
                <a:extLst>
                  <a:ext uri="{FF2B5EF4-FFF2-40B4-BE49-F238E27FC236}">
                    <a16:creationId xmlns:a16="http://schemas.microsoft.com/office/drawing/2014/main" id="{7C410ADA-8923-6C79-FF3A-FF9029253310}"/>
                  </a:ext>
                </a:extLst>
              </xdr:cNvPr>
              <xdr:cNvGraphicFramePr/>
            </xdr:nvGraphicFramePr>
            <xdr:xfrm>
              <a:off x="16561762" y="1359245"/>
              <a:ext cx="1849807" cy="3892378"/>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6664732" y="1616674"/>
                <a:ext cx="1849807" cy="3892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4" name="Product type">
                <a:extLst>
                  <a:ext uri="{FF2B5EF4-FFF2-40B4-BE49-F238E27FC236}">
                    <a16:creationId xmlns:a16="http://schemas.microsoft.com/office/drawing/2014/main" id="{4F951A41-B7B1-147A-3332-FFF6ECE04BBF}"/>
                  </a:ext>
                </a:extLst>
              </xdr:cNvPr>
              <xdr:cNvGraphicFramePr/>
            </xdr:nvGraphicFramePr>
            <xdr:xfrm>
              <a:off x="13705496" y="497772"/>
              <a:ext cx="4644287" cy="861471"/>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13808466" y="755201"/>
                <a:ext cx="4644287" cy="861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roduct_Sold">
        <xdr:nvSpPr>
          <xdr:cNvPr id="85" name="TextBox 84">
            <a:extLst>
              <a:ext uri="{FF2B5EF4-FFF2-40B4-BE49-F238E27FC236}">
                <a16:creationId xmlns:a16="http://schemas.microsoft.com/office/drawing/2014/main" id="{56FCB58B-37B3-A58D-B725-A86B80FE7566}"/>
              </a:ext>
            </a:extLst>
          </xdr:cNvPr>
          <xdr:cNvSpPr txBox="1"/>
        </xdr:nvSpPr>
        <xdr:spPr>
          <a:xfrm>
            <a:off x="1635209" y="424249"/>
            <a:ext cx="5984789" cy="564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0" i="0" u="none" strike="noStrike">
                <a:solidFill>
                  <a:schemeClr val="bg1"/>
                </a:solidFill>
                <a:latin typeface="Aptos SemiBold" panose="020B0004020202020204" pitchFamily="34" charset="0"/>
              </a:rPr>
              <a:t>SUPPLY</a:t>
            </a:r>
            <a:r>
              <a:rPr lang="en-US" sz="3200" b="0" i="0" u="none" strike="noStrike" baseline="0">
                <a:solidFill>
                  <a:schemeClr val="bg1"/>
                </a:solidFill>
                <a:latin typeface="Aptos SemiBold" panose="020B0004020202020204" pitchFamily="34" charset="0"/>
              </a:rPr>
              <a:t> CHAIN ANALYSIS</a:t>
            </a:r>
            <a:endParaRPr lang="en-US" sz="3200">
              <a:solidFill>
                <a:schemeClr val="bg1"/>
              </a:solidFill>
              <a:latin typeface="Aptos SemiBold" panose="020B0004020202020204" pitchFamily="34" charset="0"/>
            </a:endParaRPr>
          </a:p>
        </xdr:txBody>
      </xdr:sp>
      <xdr:sp macro="" textlink="Product_Sold">
        <xdr:nvSpPr>
          <xdr:cNvPr id="86" name="TextBox 85">
            <a:extLst>
              <a:ext uri="{FF2B5EF4-FFF2-40B4-BE49-F238E27FC236}">
                <a16:creationId xmlns:a16="http://schemas.microsoft.com/office/drawing/2014/main" id="{0589D6A9-30B9-FAC6-00D3-E0CECEE74050}"/>
              </a:ext>
            </a:extLst>
          </xdr:cNvPr>
          <xdr:cNvSpPr txBox="1"/>
        </xdr:nvSpPr>
        <xdr:spPr>
          <a:xfrm>
            <a:off x="0" y="0"/>
            <a:ext cx="434340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i="0" u="none" strike="noStrike">
                <a:solidFill>
                  <a:schemeClr val="bg1">
                    <a:lumMod val="65000"/>
                  </a:schemeClr>
                </a:solidFill>
                <a:latin typeface="Aptos SemiBold" panose="020B0004020202020204" pitchFamily="34" charset="0"/>
              </a:rPr>
              <a:t>SUPPLY</a:t>
            </a:r>
            <a:r>
              <a:rPr lang="en-US" sz="2800" b="0" i="0" u="none" strike="noStrike" baseline="0">
                <a:solidFill>
                  <a:schemeClr val="bg1">
                    <a:lumMod val="65000"/>
                  </a:schemeClr>
                </a:solidFill>
                <a:latin typeface="Aptos SemiBold" panose="020B0004020202020204" pitchFamily="34" charset="0"/>
              </a:rPr>
              <a:t> CHAIN ANALYSIS</a:t>
            </a:r>
            <a:endParaRPr lang="en-US" sz="2800">
              <a:solidFill>
                <a:schemeClr val="bg1">
                  <a:lumMod val="65000"/>
                </a:schemeClr>
              </a:solidFill>
              <a:latin typeface="Aptos SemiBold" panose="020B0004020202020204" pitchFamily="34" charset="0"/>
            </a:endParaRPr>
          </a:p>
        </xdr:txBody>
      </xdr:sp>
      <xdr:sp macro="" textlink="Product_Sold">
        <xdr:nvSpPr>
          <xdr:cNvPr id="87" name="TextBox 86">
            <a:extLst>
              <a:ext uri="{FF2B5EF4-FFF2-40B4-BE49-F238E27FC236}">
                <a16:creationId xmlns:a16="http://schemas.microsoft.com/office/drawing/2014/main" id="{D2EECC81-120B-8989-905E-D9F207DB76AB}"/>
              </a:ext>
            </a:extLst>
          </xdr:cNvPr>
          <xdr:cNvSpPr txBox="1"/>
        </xdr:nvSpPr>
        <xdr:spPr>
          <a:xfrm>
            <a:off x="829959" y="947351"/>
            <a:ext cx="8200769" cy="564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i="0" u="none" strike="noStrike">
                <a:solidFill>
                  <a:schemeClr val="bg1">
                    <a:lumMod val="65000"/>
                  </a:schemeClr>
                </a:solidFill>
                <a:latin typeface="Aptos SemiBold" panose="020B0004020202020204" pitchFamily="34" charset="0"/>
              </a:rPr>
              <a:t>ONABANJO DAVID ADEMOLA SEPTEMBER COHORT</a:t>
            </a:r>
            <a:endParaRPr lang="en-US" sz="2000">
              <a:solidFill>
                <a:schemeClr val="bg1">
                  <a:lumMod val="65000"/>
                </a:schemeClr>
              </a:solidFill>
              <a:latin typeface="Aptos SemiBold" panose="020B000402020202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172171</xdr:colOff>
      <xdr:row>3</xdr:row>
      <xdr:rowOff>73519</xdr:rowOff>
    </xdr:from>
    <xdr:to>
      <xdr:col>30</xdr:col>
      <xdr:colOff>297798</xdr:colOff>
      <xdr:row>52</xdr:row>
      <xdr:rowOff>72207</xdr:rowOff>
    </xdr:to>
    <xdr:grpSp>
      <xdr:nvGrpSpPr>
        <xdr:cNvPr id="40" name="Group 39">
          <a:extLst>
            <a:ext uri="{FF2B5EF4-FFF2-40B4-BE49-F238E27FC236}">
              <a16:creationId xmlns:a16="http://schemas.microsoft.com/office/drawing/2014/main" id="{F8440382-EB0F-FA80-DB38-8C835F13083D}"/>
            </a:ext>
          </a:extLst>
        </xdr:cNvPr>
        <xdr:cNvGrpSpPr/>
      </xdr:nvGrpSpPr>
      <xdr:grpSpPr>
        <a:xfrm>
          <a:off x="779712" y="629573"/>
          <a:ext cx="17744302" cy="9080904"/>
          <a:chOff x="779712" y="361847"/>
          <a:chExt cx="17744302" cy="9080904"/>
        </a:xfrm>
      </xdr:grpSpPr>
      <xdr:grpSp>
        <xdr:nvGrpSpPr>
          <xdr:cNvPr id="3" name="Group 2">
            <a:extLst>
              <a:ext uri="{FF2B5EF4-FFF2-40B4-BE49-F238E27FC236}">
                <a16:creationId xmlns:a16="http://schemas.microsoft.com/office/drawing/2014/main" id="{763D4D0F-97C9-4C5A-8756-A050504E2F86}"/>
              </a:ext>
            </a:extLst>
          </xdr:cNvPr>
          <xdr:cNvGrpSpPr/>
        </xdr:nvGrpSpPr>
        <xdr:grpSpPr>
          <a:xfrm>
            <a:off x="779712" y="361847"/>
            <a:ext cx="17744302" cy="9080904"/>
            <a:chOff x="607541" y="348950"/>
            <a:chExt cx="17804027" cy="8959807"/>
          </a:xfrm>
        </xdr:grpSpPr>
        <xdr:grpSp>
          <xdr:nvGrpSpPr>
            <xdr:cNvPr id="4" name="Group 3">
              <a:extLst>
                <a:ext uri="{FF2B5EF4-FFF2-40B4-BE49-F238E27FC236}">
                  <a16:creationId xmlns:a16="http://schemas.microsoft.com/office/drawing/2014/main" id="{4E30841F-84A5-DD69-A420-894127E4D7FA}"/>
                </a:ext>
              </a:extLst>
            </xdr:cNvPr>
            <xdr:cNvGrpSpPr/>
          </xdr:nvGrpSpPr>
          <xdr:grpSpPr>
            <a:xfrm>
              <a:off x="607541" y="348950"/>
              <a:ext cx="17804027" cy="8959807"/>
              <a:chOff x="-446744" y="341144"/>
              <a:chExt cx="27424363" cy="17141967"/>
            </a:xfrm>
          </xdr:grpSpPr>
          <xdr:sp macro="" textlink="">
            <xdr:nvSpPr>
              <xdr:cNvPr id="6" name="Rectangle: Rounded Corners 5">
                <a:extLst>
                  <a:ext uri="{FF2B5EF4-FFF2-40B4-BE49-F238E27FC236}">
                    <a16:creationId xmlns:a16="http://schemas.microsoft.com/office/drawing/2014/main" id="{26FF6E91-E720-E8CB-995E-6844DF79ED41}"/>
                  </a:ext>
                </a:extLst>
              </xdr:cNvPr>
              <xdr:cNvSpPr/>
            </xdr:nvSpPr>
            <xdr:spPr>
              <a:xfrm>
                <a:off x="-446744" y="341144"/>
                <a:ext cx="27424363" cy="17141967"/>
              </a:xfrm>
              <a:prstGeom prst="roundRect">
                <a:avLst>
                  <a:gd name="adj" fmla="val 2884"/>
                </a:avLst>
              </a:prstGeom>
              <a:solidFill>
                <a:srgbClr val="0A0A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412AD69A-4C14-76AB-24A2-F105669E3C9E}"/>
                  </a:ext>
                </a:extLst>
              </xdr:cNvPr>
              <xdr:cNvSpPr/>
            </xdr:nvSpPr>
            <xdr:spPr>
              <a:xfrm>
                <a:off x="3372023" y="6084184"/>
                <a:ext cx="2484674" cy="338854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D823FA8B-FD23-3B43-C151-DF8DCA696CEB}"/>
                  </a:ext>
                </a:extLst>
              </xdr:cNvPr>
              <xdr:cNvSpPr/>
            </xdr:nvSpPr>
            <xdr:spPr>
              <a:xfrm>
                <a:off x="818335" y="9639704"/>
                <a:ext cx="12819846" cy="7583138"/>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nvGrpSpPr>
              <xdr:cNvPr id="9" name="Group 8">
                <a:extLst>
                  <a:ext uri="{FF2B5EF4-FFF2-40B4-BE49-F238E27FC236}">
                    <a16:creationId xmlns:a16="http://schemas.microsoft.com/office/drawing/2014/main" id="{68BAAA9E-6915-9E6C-2D26-4B755EE5AC04}"/>
                  </a:ext>
                </a:extLst>
              </xdr:cNvPr>
              <xdr:cNvGrpSpPr/>
            </xdr:nvGrpSpPr>
            <xdr:grpSpPr>
              <a:xfrm>
                <a:off x="-303037" y="6263916"/>
                <a:ext cx="982455" cy="5624146"/>
                <a:chOff x="-303037" y="6263916"/>
                <a:chExt cx="982455" cy="5624146"/>
              </a:xfrm>
            </xdr:grpSpPr>
            <xdr:sp macro="" textlink="">
              <xdr:nvSpPr>
                <xdr:cNvPr id="16" name="Rectangle: Rounded Corners 15">
                  <a:extLst>
                    <a:ext uri="{FF2B5EF4-FFF2-40B4-BE49-F238E27FC236}">
                      <a16:creationId xmlns:a16="http://schemas.microsoft.com/office/drawing/2014/main" id="{2BEF92F0-020B-4525-DEDB-17D8B3803064}"/>
                    </a:ext>
                  </a:extLst>
                </xdr:cNvPr>
                <xdr:cNvSpPr/>
              </xdr:nvSpPr>
              <xdr:spPr>
                <a:xfrm>
                  <a:off x="-303037" y="6263916"/>
                  <a:ext cx="982455" cy="5624146"/>
                </a:xfrm>
                <a:prstGeom prst="roundRect">
                  <a:avLst>
                    <a:gd name="adj" fmla="val 45568"/>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pic>
              <xdr:nvPicPr>
                <xdr:cNvPr id="17" name="Picture 16" descr="A yellow truck with boxes and a building&#10;&#10;AI-generated content may be incorrect.">
                  <a:hlinkClick xmlns:r="http://schemas.openxmlformats.org/officeDocument/2006/relationships" r:id="rId1"/>
                  <a:extLst>
                    <a:ext uri="{FF2B5EF4-FFF2-40B4-BE49-F238E27FC236}">
                      <a16:creationId xmlns:a16="http://schemas.microsoft.com/office/drawing/2014/main" id="{66689835-082A-FB10-F94C-B5D72612FA36}"/>
                    </a:ext>
                  </a:extLst>
                </xdr:cNvPr>
                <xdr:cNvPicPr>
                  <a:picLocks noChangeAspect="1"/>
                </xdr:cNvPicPr>
              </xdr:nvPicPr>
              <xdr:blipFill>
                <a:blip xmlns:r="http://schemas.openxmlformats.org/officeDocument/2006/relationships" r:embed="rId2">
                  <a:duotone>
                    <a:prstClr val="black"/>
                    <a:srgbClr val="B99653">
                      <a:tint val="45000"/>
                      <a:satMod val="400000"/>
                    </a:srgbClr>
                  </a:duotone>
                  <a:extLst>
                    <a:ext uri="{28A0092B-C50C-407E-A947-70E740481C1C}">
                      <a14:useLocalDpi xmlns:a14="http://schemas.microsoft.com/office/drawing/2010/main" val="0"/>
                    </a:ext>
                  </a:extLst>
                </a:blip>
                <a:stretch>
                  <a:fillRect/>
                </a:stretch>
              </xdr:blipFill>
              <xdr:spPr>
                <a:xfrm>
                  <a:off x="-235744" y="7164419"/>
                  <a:ext cx="827220" cy="827221"/>
                </a:xfrm>
                <a:prstGeom prst="rect">
                  <a:avLst/>
                </a:prstGeom>
                <a:noFill/>
                <a:ln w="9525" cmpd="sng">
                  <a:noFill/>
                </a:ln>
              </xdr:spPr>
            </xdr:pic>
            <xdr:pic>
              <xdr:nvPicPr>
                <xdr:cNvPr id="18" name="Picture 17" descr="A group of people with stars above them&#10;&#10;AI-generated content may be incorrect.">
                  <a:hlinkClick xmlns:r="http://schemas.openxmlformats.org/officeDocument/2006/relationships" r:id="rId3"/>
                  <a:extLst>
                    <a:ext uri="{FF2B5EF4-FFF2-40B4-BE49-F238E27FC236}">
                      <a16:creationId xmlns:a16="http://schemas.microsoft.com/office/drawing/2014/main" id="{5246D97D-A628-4599-36A2-9CFCB46B7336}"/>
                    </a:ext>
                  </a:extLst>
                </xdr:cNvPr>
                <xdr:cNvPicPr>
                  <a:picLocks noChangeAspect="1"/>
                </xdr:cNvPicPr>
              </xdr:nvPicPr>
              <xdr:blipFill>
                <a:blip xmlns:r="http://schemas.openxmlformats.org/officeDocument/2006/relationships" r:embed="rId4">
                  <a:duotone>
                    <a:prstClr val="black"/>
                    <a:srgbClr val="B99653">
                      <a:tint val="45000"/>
                      <a:satMod val="400000"/>
                    </a:srgbClr>
                  </a:duotone>
                  <a:extLst>
                    <a:ext uri="{28A0092B-C50C-407E-A947-70E740481C1C}">
                      <a14:useLocalDpi xmlns:a14="http://schemas.microsoft.com/office/drawing/2010/main" val="0"/>
                    </a:ext>
                  </a:extLst>
                </a:blip>
                <a:stretch>
                  <a:fillRect/>
                </a:stretch>
              </xdr:blipFill>
              <xdr:spPr>
                <a:xfrm>
                  <a:off x="-219881" y="8940296"/>
                  <a:ext cx="827220" cy="827219"/>
                </a:xfrm>
                <a:prstGeom prst="rect">
                  <a:avLst/>
                </a:prstGeom>
                <a:noFill/>
                <a:ln w="9525" cmpd="sng">
                  <a:noFill/>
                </a:ln>
              </xdr:spPr>
            </xdr:pic>
          </xdr:grpSp>
          <xdr:sp macro="" textlink="">
            <xdr:nvSpPr>
              <xdr:cNvPr id="10" name="Rectangle: Rounded Corners 9">
                <a:extLst>
                  <a:ext uri="{FF2B5EF4-FFF2-40B4-BE49-F238E27FC236}">
                    <a16:creationId xmlns:a16="http://schemas.microsoft.com/office/drawing/2014/main" id="{7D951CF4-ACE3-DCCF-2F80-6A36DE95EA80}"/>
                  </a:ext>
                </a:extLst>
              </xdr:cNvPr>
              <xdr:cNvSpPr/>
            </xdr:nvSpPr>
            <xdr:spPr>
              <a:xfrm>
                <a:off x="13828516" y="9622466"/>
                <a:ext cx="12911181" cy="7557048"/>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6063FE7C-5B53-0A10-289D-FC70AE567418}"/>
                  </a:ext>
                </a:extLst>
              </xdr:cNvPr>
              <xdr:cNvSpPr/>
            </xdr:nvSpPr>
            <xdr:spPr>
              <a:xfrm>
                <a:off x="6008854" y="2577167"/>
                <a:ext cx="9865783" cy="6847787"/>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D2BDD2BF-2C2E-05DF-B931-F2F75D0F8B49}"/>
                  </a:ext>
                </a:extLst>
              </xdr:cNvPr>
              <xdr:cNvSpPr/>
            </xdr:nvSpPr>
            <xdr:spPr>
              <a:xfrm>
                <a:off x="16049110" y="2588946"/>
                <a:ext cx="10655689" cy="6824226"/>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3A3B6F37-176A-69CA-E552-97CADD3EF3B4}"/>
                  </a:ext>
                </a:extLst>
              </xdr:cNvPr>
              <xdr:cNvSpPr/>
            </xdr:nvSpPr>
            <xdr:spPr>
              <a:xfrm>
                <a:off x="3370770" y="2573488"/>
                <a:ext cx="2484674" cy="338854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DC90B3AD-35A8-4A32-11AE-F62B274F12C4}"/>
                  </a:ext>
                </a:extLst>
              </xdr:cNvPr>
              <xdr:cNvSpPr/>
            </xdr:nvSpPr>
            <xdr:spPr>
              <a:xfrm>
                <a:off x="748546" y="2587159"/>
                <a:ext cx="2484674" cy="338854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38F78D0B-B08F-A247-929E-CA2E7B18FC55}"/>
                  </a:ext>
                </a:extLst>
              </xdr:cNvPr>
              <xdr:cNvSpPr/>
            </xdr:nvSpPr>
            <xdr:spPr>
              <a:xfrm>
                <a:off x="767579" y="6084184"/>
                <a:ext cx="2484674" cy="3388548"/>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pic>
          <xdr:nvPicPr>
            <xdr:cNvPr id="5" name="Picture 4">
              <a:hlinkClick xmlns:r="http://schemas.openxmlformats.org/officeDocument/2006/relationships" r:id="rId5"/>
              <a:extLst>
                <a:ext uri="{FF2B5EF4-FFF2-40B4-BE49-F238E27FC236}">
                  <a16:creationId xmlns:a16="http://schemas.microsoft.com/office/drawing/2014/main" id="{545943B8-7A75-4439-189B-331FA12D4FC6}"/>
                </a:ext>
              </a:extLst>
            </xdr:cNvPr>
            <xdr:cNvPicPr>
              <a:picLocks noChangeAspect="1" noChangeArrowheads="1"/>
            </xdr:cNvPicPr>
          </xdr:nvPicPr>
          <xdr:blipFill>
            <a:blip xmlns:r="http://schemas.openxmlformats.org/officeDocument/2006/relationships" r:embed="rId6">
              <a:duotone>
                <a:prstClr val="black"/>
                <a:srgbClr val="B99653">
                  <a:tint val="45000"/>
                  <a:satMod val="400000"/>
                </a:srgbClr>
              </a:duotone>
              <a:extLst>
                <a:ext uri="{28A0092B-C50C-407E-A947-70E740481C1C}">
                  <a14:useLocalDpi xmlns:a14="http://schemas.microsoft.com/office/drawing/2010/main" val="0"/>
                </a:ext>
              </a:extLst>
            </a:blip>
            <a:srcRect/>
            <a:stretch>
              <a:fillRect/>
            </a:stretch>
          </xdr:blipFill>
          <xdr:spPr bwMode="auto">
            <a:xfrm>
              <a:off x="761999" y="5673811"/>
              <a:ext cx="483973" cy="491520"/>
            </a:xfrm>
            <a:prstGeom prst="rect">
              <a:avLst/>
            </a:prstGeom>
            <a:noFill/>
            <a:ln w="9525" cmpd="sng">
              <a:noFill/>
            </a:ln>
            <a:extLst>
              <a:ext uri="{909E8E84-426E-40DD-AFC4-6F175D3DCCD1}">
                <a14:hiddenFill xmlns:a14="http://schemas.microsoft.com/office/drawing/2010/main">
                  <a:solidFill>
                    <a:srgbClr val="FFFFFF"/>
                  </a:solidFill>
                </a14:hiddenFill>
              </a:ext>
            </a:extLst>
          </xdr:spPr>
        </xdr:pic>
      </xdr:grpSp>
      <xdr:sp macro="" textlink="AVG_Price_of_Goods">
        <xdr:nvSpPr>
          <xdr:cNvPr id="19" name="TextBox 18">
            <a:extLst>
              <a:ext uri="{FF2B5EF4-FFF2-40B4-BE49-F238E27FC236}">
                <a16:creationId xmlns:a16="http://schemas.microsoft.com/office/drawing/2014/main" id="{BE0F30F8-D695-4C7B-A75D-15960619D376}"/>
              </a:ext>
            </a:extLst>
          </xdr:cNvPr>
          <xdr:cNvSpPr txBox="1"/>
        </xdr:nvSpPr>
        <xdr:spPr>
          <a:xfrm>
            <a:off x="3470395" y="2513980"/>
            <a:ext cx="1248856" cy="503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A5B2CFB-5F80-461B-9F5E-5A045934DAF5}" type="TxLink">
              <a:rPr lang="en-US" sz="2400" b="0" i="0" u="none" strike="noStrike">
                <a:solidFill>
                  <a:srgbClr val="B99653"/>
                </a:solidFill>
                <a:latin typeface="Aptos SemiBold" panose="020B0004020202020204" pitchFamily="34" charset="0"/>
                <a:ea typeface="+mn-ea"/>
                <a:cs typeface="+mn-cs"/>
              </a:rPr>
              <a:t>$49</a:t>
            </a:fld>
            <a:endParaRPr lang="en-US" sz="2400" b="0" i="0" u="none" strike="noStrike">
              <a:solidFill>
                <a:srgbClr val="B99653"/>
              </a:solidFill>
              <a:latin typeface="Aptos SemiBold" panose="020B0004020202020204" pitchFamily="34" charset="0"/>
              <a:ea typeface="+mn-ea"/>
              <a:cs typeface="+mn-cs"/>
            </a:endParaRPr>
          </a:p>
        </xdr:txBody>
      </xdr:sp>
      <xdr:sp macro="" textlink="Product_Type">
        <xdr:nvSpPr>
          <xdr:cNvPr id="20" name="TextBox 19">
            <a:extLst>
              <a:ext uri="{FF2B5EF4-FFF2-40B4-BE49-F238E27FC236}">
                <a16:creationId xmlns:a16="http://schemas.microsoft.com/office/drawing/2014/main" id="{770B1678-1CDF-8C83-C4F1-78CA3C75BE06}"/>
              </a:ext>
            </a:extLst>
          </xdr:cNvPr>
          <xdr:cNvSpPr txBox="1"/>
        </xdr:nvSpPr>
        <xdr:spPr>
          <a:xfrm>
            <a:off x="3406549" y="4386024"/>
            <a:ext cx="1248856" cy="503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91727AC-4FB1-4A1A-B8AB-7A79C5F49C5F}" type="TxLink">
              <a:rPr lang="en-US" sz="2400" b="0" i="0" u="none" strike="noStrike">
                <a:solidFill>
                  <a:srgbClr val="B99653"/>
                </a:solidFill>
                <a:latin typeface="Aptos SemiBold" panose="020B0004020202020204" pitchFamily="34" charset="0"/>
                <a:ea typeface="+mn-ea"/>
                <a:cs typeface="+mn-cs"/>
              </a:rPr>
              <a:pPr marL="0" indent="0" algn="ctr"/>
              <a:t>3</a:t>
            </a:fld>
            <a:endParaRPr lang="en-US" sz="2400" b="0" i="0" u="none" strike="noStrike">
              <a:solidFill>
                <a:srgbClr val="B99653"/>
              </a:solidFill>
              <a:latin typeface="Aptos SemiBold" panose="020B0004020202020204" pitchFamily="34" charset="0"/>
              <a:ea typeface="+mn-ea"/>
              <a:cs typeface="+mn-cs"/>
            </a:endParaRPr>
          </a:p>
        </xdr:txBody>
      </xdr:sp>
      <xdr:sp macro="" textlink="Product_Sold">
        <xdr:nvSpPr>
          <xdr:cNvPr id="22" name="TextBox 21">
            <a:extLst>
              <a:ext uri="{FF2B5EF4-FFF2-40B4-BE49-F238E27FC236}">
                <a16:creationId xmlns:a16="http://schemas.microsoft.com/office/drawing/2014/main" id="{147A8316-EB7F-47D3-919C-EBB18BCE86DF}"/>
              </a:ext>
            </a:extLst>
          </xdr:cNvPr>
          <xdr:cNvSpPr txBox="1"/>
        </xdr:nvSpPr>
        <xdr:spPr>
          <a:xfrm>
            <a:off x="1928934" y="4452966"/>
            <a:ext cx="896598"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672951F-80FE-4035-A77B-A44E9BC5360D}" type="TxLink">
              <a:rPr lang="en-US" sz="2400" b="0" i="0" u="none" strike="noStrike">
                <a:solidFill>
                  <a:srgbClr val="B99653"/>
                </a:solidFill>
                <a:latin typeface="Aptos SemiBold" panose="020B0004020202020204" pitchFamily="34" charset="0"/>
                <a:ea typeface="+mn-ea"/>
                <a:cs typeface="+mn-cs"/>
              </a:rPr>
              <a:pPr marL="0" indent="0" algn="ctr"/>
              <a:t>46K</a:t>
            </a:fld>
            <a:endParaRPr lang="en-US" sz="2400" b="0" i="0" u="none" strike="noStrike">
              <a:solidFill>
                <a:srgbClr val="B99653"/>
              </a:solidFill>
              <a:latin typeface="Aptos SemiBold" panose="020B0004020202020204" pitchFamily="34" charset="0"/>
              <a:ea typeface="+mn-ea"/>
              <a:cs typeface="+mn-cs"/>
            </a:endParaRPr>
          </a:p>
        </xdr:txBody>
      </xdr:sp>
      <xdr:sp macro="" textlink="Product_Sold">
        <xdr:nvSpPr>
          <xdr:cNvPr id="23" name="TextBox 22">
            <a:extLst>
              <a:ext uri="{FF2B5EF4-FFF2-40B4-BE49-F238E27FC236}">
                <a16:creationId xmlns:a16="http://schemas.microsoft.com/office/drawing/2014/main" id="{BD44CAE9-ADC4-44A8-9E0C-2537ED66E687}"/>
              </a:ext>
            </a:extLst>
          </xdr:cNvPr>
          <xdr:cNvSpPr txBox="1"/>
        </xdr:nvSpPr>
        <xdr:spPr>
          <a:xfrm>
            <a:off x="1438738" y="3502522"/>
            <a:ext cx="1876991" cy="72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lumMod val="65000"/>
                  </a:schemeClr>
                </a:solidFill>
                <a:latin typeface="Aptos SemiBold" panose="020B0004020202020204" pitchFamily="34" charset="0"/>
              </a:rPr>
              <a:t>Total Products sold</a:t>
            </a:r>
          </a:p>
        </xdr:txBody>
      </xdr:sp>
      <xdr:sp macro="" textlink="Product_Sold">
        <xdr:nvSpPr>
          <xdr:cNvPr id="24" name="TextBox 23">
            <a:extLst>
              <a:ext uri="{FF2B5EF4-FFF2-40B4-BE49-F238E27FC236}">
                <a16:creationId xmlns:a16="http://schemas.microsoft.com/office/drawing/2014/main" id="{3E43D924-634F-E08D-814A-239EC5D0CF18}"/>
              </a:ext>
            </a:extLst>
          </xdr:cNvPr>
          <xdr:cNvSpPr txBox="1"/>
        </xdr:nvSpPr>
        <xdr:spPr>
          <a:xfrm>
            <a:off x="3156328" y="1677841"/>
            <a:ext cx="1876991" cy="72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lumMod val="65000"/>
                  </a:schemeClr>
                </a:solidFill>
                <a:latin typeface="Aptos SemiBold" panose="020B0004020202020204" pitchFamily="34" charset="0"/>
              </a:rPr>
              <a:t>Avg</a:t>
            </a:r>
            <a:r>
              <a:rPr lang="en-US" sz="1800" baseline="0">
                <a:solidFill>
                  <a:schemeClr val="bg1">
                    <a:lumMod val="65000"/>
                  </a:schemeClr>
                </a:solidFill>
                <a:latin typeface="Aptos SemiBold" panose="020B0004020202020204" pitchFamily="34" charset="0"/>
              </a:rPr>
              <a:t> Price of Goods</a:t>
            </a:r>
            <a:endParaRPr lang="en-US" sz="1800">
              <a:solidFill>
                <a:schemeClr val="bg1">
                  <a:lumMod val="65000"/>
                </a:schemeClr>
              </a:solidFill>
              <a:latin typeface="Aptos SemiBold" panose="020B0004020202020204" pitchFamily="34" charset="0"/>
            </a:endParaRPr>
          </a:p>
        </xdr:txBody>
      </xdr:sp>
      <xdr:sp macro="" textlink="Product_Sold">
        <xdr:nvSpPr>
          <xdr:cNvPr id="25" name="TextBox 24">
            <a:extLst>
              <a:ext uri="{FF2B5EF4-FFF2-40B4-BE49-F238E27FC236}">
                <a16:creationId xmlns:a16="http://schemas.microsoft.com/office/drawing/2014/main" id="{542AD977-FC18-4283-F980-069AACBEBFD7}"/>
              </a:ext>
            </a:extLst>
          </xdr:cNvPr>
          <xdr:cNvSpPr txBox="1"/>
        </xdr:nvSpPr>
        <xdr:spPr>
          <a:xfrm>
            <a:off x="3092482" y="3539589"/>
            <a:ext cx="1876991" cy="435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lumMod val="65000"/>
                  </a:schemeClr>
                </a:solidFill>
                <a:latin typeface="Aptos SemiBold" panose="020B0004020202020204" pitchFamily="34" charset="0"/>
              </a:rPr>
              <a:t>Product Type</a:t>
            </a:r>
          </a:p>
        </xdr:txBody>
      </xdr:sp>
      <xdr:sp macro="" textlink="Revenue">
        <xdr:nvSpPr>
          <xdr:cNvPr id="26" name="TextBox 25">
            <a:extLst>
              <a:ext uri="{FF2B5EF4-FFF2-40B4-BE49-F238E27FC236}">
                <a16:creationId xmlns:a16="http://schemas.microsoft.com/office/drawing/2014/main" id="{55610E14-BE91-470A-94C8-0AE81908D792}"/>
              </a:ext>
            </a:extLst>
          </xdr:cNvPr>
          <xdr:cNvSpPr txBox="1"/>
        </xdr:nvSpPr>
        <xdr:spPr>
          <a:xfrm>
            <a:off x="1732210" y="2510894"/>
            <a:ext cx="1187073" cy="50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B71825-351D-41A1-A498-B9AF233E6AA1}" type="TxLink">
              <a:rPr lang="en-US" sz="2400" b="0" i="0" u="none" strike="noStrike">
                <a:solidFill>
                  <a:srgbClr val="B99653"/>
                </a:solidFill>
                <a:latin typeface="Aptos SemiBold" panose="020B0004020202020204" pitchFamily="34" charset="0"/>
              </a:rPr>
              <a:t>$2.29M</a:t>
            </a:fld>
            <a:endParaRPr lang="en-US" sz="2400">
              <a:solidFill>
                <a:srgbClr val="B99653"/>
              </a:solidFill>
              <a:latin typeface="Aptos SemiBold" panose="020B0004020202020204" pitchFamily="34" charset="0"/>
            </a:endParaRPr>
          </a:p>
        </xdr:txBody>
      </xdr:sp>
      <xdr:sp macro="" textlink="Product_Sold">
        <xdr:nvSpPr>
          <xdr:cNvPr id="27" name="TextBox 26">
            <a:extLst>
              <a:ext uri="{FF2B5EF4-FFF2-40B4-BE49-F238E27FC236}">
                <a16:creationId xmlns:a16="http://schemas.microsoft.com/office/drawing/2014/main" id="{152BE48B-DDF7-4ED3-B184-20B803EFC0F0}"/>
              </a:ext>
            </a:extLst>
          </xdr:cNvPr>
          <xdr:cNvSpPr txBox="1"/>
        </xdr:nvSpPr>
        <xdr:spPr>
          <a:xfrm>
            <a:off x="1490224" y="1628415"/>
            <a:ext cx="1671045" cy="770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chemeClr val="bg1">
                    <a:lumMod val="65000"/>
                  </a:schemeClr>
                </a:solidFill>
                <a:latin typeface="Aptos SemiBold" panose="020B0004020202020204" pitchFamily="34" charset="0"/>
              </a:rPr>
              <a:t>Revenue Generated</a:t>
            </a:r>
            <a:endParaRPr lang="en-US" sz="1800">
              <a:solidFill>
                <a:schemeClr val="bg1">
                  <a:lumMod val="65000"/>
                </a:schemeClr>
              </a:solidFill>
              <a:latin typeface="Aptos SemiBold" panose="020B0004020202020204" pitchFamily="34" charset="0"/>
            </a:endParaRPr>
          </a:p>
        </xdr:txBody>
      </xdr:sp>
      <xdr:sp macro="" textlink="">
        <xdr:nvSpPr>
          <xdr:cNvPr id="28" name="TextBox 27">
            <a:extLst>
              <a:ext uri="{FF2B5EF4-FFF2-40B4-BE49-F238E27FC236}">
                <a16:creationId xmlns:a16="http://schemas.microsoft.com/office/drawing/2014/main" id="{869C4B53-D8CB-4ED9-AF1D-943ECC9B9594}"/>
              </a:ext>
            </a:extLst>
          </xdr:cNvPr>
          <xdr:cNvSpPr txBox="1"/>
        </xdr:nvSpPr>
        <xdr:spPr>
          <a:xfrm>
            <a:off x="5351712" y="1628415"/>
            <a:ext cx="5439856" cy="832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What is the relationship between product price and generated revenue?</a:t>
            </a:r>
          </a:p>
        </xdr:txBody>
      </xdr:sp>
      <xdr:graphicFrame macro="">
        <xdr:nvGraphicFramePr>
          <xdr:cNvPr id="29" name="Chart 28">
            <a:extLst>
              <a:ext uri="{FF2B5EF4-FFF2-40B4-BE49-F238E27FC236}">
                <a16:creationId xmlns:a16="http://schemas.microsoft.com/office/drawing/2014/main" id="{5D8BFA65-A6C5-417F-A1FC-F4F0C087CDCF}"/>
              </a:ext>
            </a:extLst>
          </xdr:cNvPr>
          <xdr:cNvGraphicFramePr>
            <a:graphicFrameLocks/>
          </xdr:cNvGraphicFramePr>
        </xdr:nvGraphicFramePr>
        <xdr:xfrm>
          <a:off x="5055973" y="1915297"/>
          <a:ext cx="6178378" cy="316127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0" name="Chart 29">
            <a:extLst>
              <a:ext uri="{FF2B5EF4-FFF2-40B4-BE49-F238E27FC236}">
                <a16:creationId xmlns:a16="http://schemas.microsoft.com/office/drawing/2014/main" id="{E17CEC94-008B-4357-ABBE-3424007B962E}"/>
              </a:ext>
            </a:extLst>
          </xdr:cNvPr>
          <xdr:cNvGraphicFramePr>
            <a:graphicFrameLocks/>
          </xdr:cNvGraphicFramePr>
        </xdr:nvGraphicFramePr>
        <xdr:xfrm>
          <a:off x="11543270" y="2038865"/>
          <a:ext cx="6672649" cy="2986216"/>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1" name="TextBox 30">
            <a:extLst>
              <a:ext uri="{FF2B5EF4-FFF2-40B4-BE49-F238E27FC236}">
                <a16:creationId xmlns:a16="http://schemas.microsoft.com/office/drawing/2014/main" id="{F37B43D3-3E11-C90E-F574-A3838F5A01EF}"/>
              </a:ext>
            </a:extLst>
          </xdr:cNvPr>
          <xdr:cNvSpPr txBox="1"/>
        </xdr:nvSpPr>
        <xdr:spPr>
          <a:xfrm>
            <a:off x="11682490" y="1574870"/>
            <a:ext cx="6337779" cy="49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What are the percentages of sales generated by each product type?</a:t>
            </a:r>
          </a:p>
        </xdr:txBody>
      </xdr:sp>
      <xdr:sp macro="" textlink="">
        <xdr:nvSpPr>
          <xdr:cNvPr id="32" name="TextBox 31">
            <a:extLst>
              <a:ext uri="{FF2B5EF4-FFF2-40B4-BE49-F238E27FC236}">
                <a16:creationId xmlns:a16="http://schemas.microsoft.com/office/drawing/2014/main" id="{483463E1-B38C-A869-C285-CAE6FCBDDF16}"/>
              </a:ext>
            </a:extLst>
          </xdr:cNvPr>
          <xdr:cNvSpPr txBox="1"/>
        </xdr:nvSpPr>
        <xdr:spPr>
          <a:xfrm>
            <a:off x="11093484" y="5321027"/>
            <a:ext cx="6337779" cy="49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What are the stock levels by SKU?</a:t>
            </a:r>
          </a:p>
        </xdr:txBody>
      </xdr:sp>
      <xdr:sp macro="" textlink="">
        <xdr:nvSpPr>
          <xdr:cNvPr id="34" name="TextBox 33">
            <a:extLst>
              <a:ext uri="{FF2B5EF4-FFF2-40B4-BE49-F238E27FC236}">
                <a16:creationId xmlns:a16="http://schemas.microsoft.com/office/drawing/2014/main" id="{46CDCCE2-F849-5FB0-E962-10348598E93D}"/>
              </a:ext>
            </a:extLst>
          </xdr:cNvPr>
          <xdr:cNvSpPr txBox="1"/>
        </xdr:nvSpPr>
        <xdr:spPr>
          <a:xfrm>
            <a:off x="2493181" y="5442535"/>
            <a:ext cx="6337779" cy="49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chemeClr val="bg1">
                    <a:lumMod val="65000"/>
                  </a:schemeClr>
                </a:solidFill>
                <a:latin typeface="Aptos SemiBold" panose="020B0004020202020204" pitchFamily="34" charset="0"/>
                <a:ea typeface="+mn-ea"/>
                <a:cs typeface="+mn-cs"/>
              </a:rPr>
              <a:t>What is the revenue generated by SKU?</a:t>
            </a:r>
          </a:p>
          <a:p>
            <a:pPr marL="0" indent="0" algn="ctr"/>
            <a:endParaRPr lang="en-US" sz="1400">
              <a:solidFill>
                <a:schemeClr val="bg1">
                  <a:lumMod val="65000"/>
                </a:schemeClr>
              </a:solidFill>
              <a:latin typeface="Aptos SemiBold" panose="020B0004020202020204" pitchFamily="34" charset="0"/>
              <a:ea typeface="+mn-ea"/>
              <a:cs typeface="+mn-cs"/>
            </a:endParaRPr>
          </a:p>
        </xdr:txBody>
      </xdr:sp>
      <xdr:graphicFrame macro="">
        <xdr:nvGraphicFramePr>
          <xdr:cNvPr id="35" name="Chart 34">
            <a:extLst>
              <a:ext uri="{FF2B5EF4-FFF2-40B4-BE49-F238E27FC236}">
                <a16:creationId xmlns:a16="http://schemas.microsoft.com/office/drawing/2014/main" id="{04F0AD23-91E9-4FDC-A27F-F133EF92A079}"/>
              </a:ext>
            </a:extLst>
          </xdr:cNvPr>
          <xdr:cNvGraphicFramePr>
            <a:graphicFrameLocks/>
          </xdr:cNvGraphicFramePr>
        </xdr:nvGraphicFramePr>
        <xdr:xfrm>
          <a:off x="1637270" y="5912090"/>
          <a:ext cx="8227541" cy="334518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6" name="Chart 35">
            <a:extLst>
              <a:ext uri="{FF2B5EF4-FFF2-40B4-BE49-F238E27FC236}">
                <a16:creationId xmlns:a16="http://schemas.microsoft.com/office/drawing/2014/main" id="{53589575-E039-44F2-8609-F4EDED324760}"/>
              </a:ext>
            </a:extLst>
          </xdr:cNvPr>
          <xdr:cNvGraphicFramePr>
            <a:graphicFrameLocks/>
          </xdr:cNvGraphicFramePr>
        </xdr:nvGraphicFramePr>
        <xdr:xfrm>
          <a:off x="10039865" y="5509055"/>
          <a:ext cx="8279027" cy="3799702"/>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mc:Choice xmlns:a14="http://schemas.microsoft.com/office/drawing/2010/main" Requires="a14">
          <xdr:graphicFrame macro="">
            <xdr:nvGraphicFramePr>
              <xdr:cNvPr id="37" name="Customer demographics 1">
                <a:extLst>
                  <a:ext uri="{FF2B5EF4-FFF2-40B4-BE49-F238E27FC236}">
                    <a16:creationId xmlns:a16="http://schemas.microsoft.com/office/drawing/2014/main" id="{9B0899FA-0CBB-465D-B5E3-3D1FAE77D3D7}"/>
                  </a:ext>
                </a:extLst>
              </xdr:cNvPr>
              <xdr:cNvGraphicFramePr/>
            </xdr:nvGraphicFramePr>
            <xdr:xfrm>
              <a:off x="779712" y="379971"/>
              <a:ext cx="4924785" cy="1071948"/>
            </xdr:xfrm>
            <a:graphic>
              <a:graphicData uri="http://schemas.microsoft.com/office/drawing/2010/slicer">
                <sle:slicer xmlns:sle="http://schemas.microsoft.com/office/drawing/2010/slicer" name="Customer demographics 1"/>
              </a:graphicData>
            </a:graphic>
          </xdr:graphicFrame>
        </mc:Choice>
        <mc:Fallback>
          <xdr:sp macro="" textlink="">
            <xdr:nvSpPr>
              <xdr:cNvPr id="0" name=""/>
              <xdr:cNvSpPr>
                <a:spLocks noTextEdit="1"/>
              </xdr:cNvSpPr>
            </xdr:nvSpPr>
            <xdr:spPr>
              <a:xfrm>
                <a:off x="779712" y="647697"/>
                <a:ext cx="4924785" cy="1071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Location 1">
                <a:extLst>
                  <a:ext uri="{FF2B5EF4-FFF2-40B4-BE49-F238E27FC236}">
                    <a16:creationId xmlns:a16="http://schemas.microsoft.com/office/drawing/2014/main" id="{C1416F3A-F264-42F4-86A6-B88EA96C12EE}"/>
                  </a:ext>
                </a:extLst>
              </xdr:cNvPr>
              <xdr:cNvGraphicFramePr/>
            </xdr:nvGraphicFramePr>
            <xdr:xfrm>
              <a:off x="10702395" y="391297"/>
              <a:ext cx="7750362" cy="107092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0702395" y="659023"/>
                <a:ext cx="7750362" cy="107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9" name="Product type 1">
                <a:extLst>
                  <a:ext uri="{FF2B5EF4-FFF2-40B4-BE49-F238E27FC236}">
                    <a16:creationId xmlns:a16="http://schemas.microsoft.com/office/drawing/2014/main" id="{DFF4D8A1-B693-45E1-B6BA-146BAB9EEF2D}"/>
                  </a:ext>
                </a:extLst>
              </xdr:cNvPr>
              <xdr:cNvGraphicFramePr/>
            </xdr:nvGraphicFramePr>
            <xdr:xfrm>
              <a:off x="5899937" y="411893"/>
              <a:ext cx="4644287" cy="1017372"/>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5899937" y="679619"/>
                <a:ext cx="4644287" cy="1017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1921295" backgroundQuery="1" createdVersion="8" refreshedVersion="8" minRefreshableVersion="3" recordCount="0" supportSubquery="1" supportAdvancedDrill="1" xr:uid="{7AC27941-36C3-473B-BF4C-6BA0BBE99CEF}">
  <cacheSource type="external" connectionId="3"/>
  <cacheFields count="3">
    <cacheField name="[Supply Chain Analysis].[Shipping carriers].[Shipping carriers]" caption="Shipping carriers" numFmtId="0" hierarchy="11" level="1">
      <sharedItems count="3">
        <s v="Carrier A"/>
        <s v="Carrier B"/>
        <s v="Carrier C"/>
      </sharedItems>
    </cacheField>
    <cacheField name="[Measures].[Total Revenue Generated]" caption="Total Revenue Generated" numFmtId="0" hierarchy="56"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2"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2" memberValueDatatype="20" unbalanced="0"/>
    <cacheHierarchy uniqueName="[Supply Chain Analysis].[Price]" caption="Price" attribute="1" defaultMemberUniqueName="[Supply Chain Analysis].[Price].[All]" allUniqueName="[Supply Chain Analysis].[Price].[All]" dimensionUniqueName="[Supply Chain Analysis]" displayFolder="" count="2"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2"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2"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2"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2"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2"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2"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2" memberValueDatatype="130" unbalanced="0">
      <fieldsUsage count="2">
        <fieldUsage x="-1"/>
        <fieldUsage x="0"/>
      </fieldsUsage>
    </cacheHierarchy>
    <cacheHierarchy uniqueName="[Supply Chain Analysis].[Shipping costs]" caption="Shipping costs" attribute="1" defaultMemberUniqueName="[Supply Chain Analysis].[Shipping costs].[All]" allUniqueName="[Supply Chain Analysis].[Shipping costs].[All]" dimensionUniqueName="[Supply Chain Analysis]" displayFolder="" count="2"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2"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2"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2"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2"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2"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2"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2"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2" memberValueDatatype="130" unbalanced="0"/>
    <cacheHierarchy uniqueName="[Supply Chain Analysis].[Routes]" caption="Routes" attribute="1" defaultMemberUniqueName="[Supply Chain Analysis].[Routes].[All]" allUniqueName="[Supply Chain Analysis].[Routes].[All]" dimensionUniqueName="[Supply Chain Analysis]" displayFolder="" count="2"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2"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2" memberValueDatatype="130" unbalanced="0"/>
    <cacheHierarchy uniqueName="[Supply_Chain_Analysis].[SKU]" caption="SKU" attribute="1" defaultMemberUniqueName="[Supply_Chain_Analysis].[SKU].[All]" allUniqueName="[Supply_Chain_Analysis].[SKU].[All]" dimensionUniqueName="[Supply_Chain_Analysis]" displayFolder="" count="2"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2" memberValueDatatype="20" unbalanced="0"/>
    <cacheHierarchy uniqueName="[Supply_Chain_Analysis].[Price]" caption="Price" attribute="1" defaultMemberUniqueName="[Supply_Chain_Analysis].[Price].[All]" allUniqueName="[Supply_Chain_Analysis].[Price].[All]" dimensionUniqueName="[Supply_Chain_Analysis]" displayFolder="" count="2"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2"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2"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2"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2"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2"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2"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2"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2"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2"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2"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2"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2"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2"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2"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2"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2"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2"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2" memberValueDatatype="130" unbalanced="0"/>
    <cacheHierarchy uniqueName="[Supply_Chain_Analysis].[Routes]" caption="Routes" attribute="1" defaultMemberUniqueName="[Supply_Chain_Analysis].[Routes].[All]" allUniqueName="[Supply_Chain_Analysis].[Routes].[All]" dimensionUniqueName="[Supply_Chain_Analysis]" displayFolder="" count="2"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2"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oneField="1">
      <fieldsUsage count="1">
        <fieldUsage x="1"/>
      </fieldsUsage>
    </cacheHierarchy>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2500002" backgroundQuery="1" createdVersion="8" refreshedVersion="8" minRefreshableVersion="3" recordCount="0" supportSubquery="1" supportAdvancedDrill="1" xr:uid="{13C66475-DB87-499D-8755-ED12C58B5F66}">
  <cacheSource type="external" connectionId="3"/>
  <cacheFields count="12">
    <cacheField name="[Measures].[Count of Product Type]" caption="Count of Product Type" numFmtId="0" hierarchy="54" level="32767"/>
    <cacheField name="[Measures].[Average Price  Of  Goods]" caption="Average Price  Of  Goods" numFmtId="0" hierarchy="55" level="32767"/>
    <cacheField name="[Measures].[Total Revenue Generated]" caption="Total Revenue Generated" numFmtId="0" hierarchy="56" level="32767"/>
    <cacheField name="[Measures].[Products Sold]" caption="Products Sold" numFmtId="0" hierarchy="57" level="32767"/>
    <cacheField name="[Measures].[Total Orders]" caption="Total Orders" numFmtId="0" hierarchy="58" level="32767"/>
    <cacheField name="[Measures].[Total Shipping Cost]" caption="Total Shipping Cost" numFmtId="0" hierarchy="59" level="32767"/>
    <cacheField name="[Measures].[Average S.Leadtime]" caption="Average S.Leadtime" numFmtId="0" hierarchy="60" level="32767"/>
    <cacheField name="[Measures].[Average Defect Rate]" caption="Average Defect Rate" numFmtId="0" hierarchy="61" level="32767"/>
    <cacheField name="[Measures].[Average shipping time]" caption="Average shipping time" numFmtId="0" hierarchy="62" level="32767"/>
    <cacheField name="[Measures].[Average Transportation Costs]" caption="Average Transportation Costs" numFmtId="0" hierarchy="63" level="32767"/>
    <cacheField name="[Measures].[Total Stock Levels]" caption="Total Stock Levels" numFmtId="0" hierarchy="64"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11"/>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oneField="1">
      <fieldsUsage count="1">
        <fieldUsage x="0"/>
      </fieldsUsage>
    </cacheHierarchy>
    <cacheHierarchy uniqueName="[Measures].[Average Price  Of  Goods]" caption="Average Price  Of  Goods" measure="1" displayFolder="" measureGroup="Supply Chain Analysis" count="0" oneField="1">
      <fieldsUsage count="1">
        <fieldUsage x="1"/>
      </fieldsUsage>
    </cacheHierarchy>
    <cacheHierarchy uniqueName="[Measures].[Total Revenue Generated]" caption="Total Revenue Generated" measure="1" displayFolder="" measureGroup="Supply Chain Analysis" count="0" oneField="1">
      <fieldsUsage count="1">
        <fieldUsage x="2"/>
      </fieldsUsage>
    </cacheHierarchy>
    <cacheHierarchy uniqueName="[Measures].[Products Sold]" caption="Products Sold" measure="1" displayFolder="" measureGroup="Supply Chain Analysis" count="0" oneField="1">
      <fieldsUsage count="1">
        <fieldUsage x="3"/>
      </fieldsUsage>
    </cacheHierarchy>
    <cacheHierarchy uniqueName="[Measures].[Total Orders]" caption="Total Orders" measure="1" displayFolder="" measureGroup="Supply Chain Analysis" count="0" oneField="1">
      <fieldsUsage count="1">
        <fieldUsage x="4"/>
      </fieldsUsage>
    </cacheHierarchy>
    <cacheHierarchy uniqueName="[Measures].[Total Shipping Cost]" caption="Total Shipping Cost" measure="1" displayFolder="" measureGroup="Supply Chain Analysis" count="0" oneField="1">
      <fieldsUsage count="1">
        <fieldUsage x="5"/>
      </fieldsUsage>
    </cacheHierarchy>
    <cacheHierarchy uniqueName="[Measures].[Average S.Leadtime]" caption="Average S.Leadtime" measure="1" displayFolder="" measureGroup="Supply Chain Analysis" count="0" oneField="1">
      <fieldsUsage count="1">
        <fieldUsage x="6"/>
      </fieldsUsage>
    </cacheHierarchy>
    <cacheHierarchy uniqueName="[Measures].[Average Defect Rate]" caption="Average Defect Rate" measure="1" displayFolder="" measureGroup="Supply Chain Analysis" count="0" oneField="1">
      <fieldsUsage count="1">
        <fieldUsage x="7"/>
      </fieldsUsage>
    </cacheHierarchy>
    <cacheHierarchy uniqueName="[Measures].[Average shipping time]" caption="Average shipping time" measure="1" displayFolder="" measureGroup="Supply Chain Analysis" count="0" oneField="1">
      <fieldsUsage count="1">
        <fieldUsage x="8"/>
      </fieldsUsage>
    </cacheHierarchy>
    <cacheHierarchy uniqueName="[Measures].[Average Transportation Costs]" caption="Average Transportation Costs" measure="1" displayFolder="" measureGroup="Supply Chain Analysis" count="0" oneField="1">
      <fieldsUsage count="1">
        <fieldUsage x="9"/>
      </fieldsUsage>
    </cacheHierarchy>
    <cacheHierarchy uniqueName="[Measures].[Total Stock Levels]" caption="Total Stock Levels" measure="1" displayFolder="" measureGroup="Supply Chain Analysis" count="0" oneField="1">
      <fieldsUsage count="1">
        <fieldUsage x="10"/>
      </fieldsUsage>
    </cacheHierarchy>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2847226" backgroundQuery="1" createdVersion="8" refreshedVersion="8" minRefreshableVersion="3" recordCount="0" supportSubquery="1" supportAdvancedDrill="1" xr:uid="{ABB02422-B94E-48AE-A3E4-537E9E61C7E0}">
  <cacheSource type="external" connectionId="3"/>
  <cacheFields count="3">
    <cacheField name="[Measures].[Sum of Revenue Generated]" caption="Sum of Revenue Generated" numFmtId="0" hierarchy="48" level="32767"/>
    <cacheField name="[Measures].[Sum of Price]" caption="Sum of Price" numFmtId="0" hierarchy="53"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oneField="1">
      <fieldsUsage count="1">
        <fieldUsage x="0"/>
      </fieldsUsage>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oneField="1">
      <fieldsUsage count="1">
        <fieldUsage x="1"/>
      </fieldsUsage>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3194442" backgroundQuery="1" createdVersion="8" refreshedVersion="8" minRefreshableVersion="3" recordCount="0" supportSubquery="1" supportAdvancedDrill="1" xr:uid="{BEAB2804-F394-4E1D-A8D8-4B4D0A994B29}">
  <cacheSource type="external" connectionId="3"/>
  <cacheFields count="2">
    <cacheField name="[Supply Chain Analysis].[Product type].[Product type]" caption="Product type" numFmtId="0" level="1">
      <sharedItems count="3">
        <s v="Cosmetics"/>
        <s v="Haircare"/>
        <s v="Skincare"/>
      </sharedItems>
    </cacheField>
    <cacheField name="[Measures].[Total Revenue Generated]" caption="Total Revenue Generated" numFmtId="0" hierarchy="56" level="32767"/>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0"/>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oneField="1">
      <fieldsUsage count="1">
        <fieldUsage x="1"/>
      </fieldsUsage>
    </cacheHierarchy>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3541665" backgroundQuery="1" createdVersion="8" refreshedVersion="8" minRefreshableVersion="3" recordCount="0" supportSubquery="1" supportAdvancedDrill="1" xr:uid="{007CFF40-3738-4E9B-9229-9975819FA753}">
  <cacheSource type="external" connectionId="3"/>
  <cacheFields count="3">
    <cacheField name="[Measures].[Total Revenue Generated]" caption="Total Revenue Generated" numFmtId="0" hierarchy="56" level="32767"/>
    <cacheField name="[Supply Chain Analysis].[SKU].[SKU]" caption="SKU" numFmtId="0" hierarchy="1" level="1">
      <sharedItems count="100">
        <s v="SKU0"/>
        <s v="SKU1"/>
        <s v="SKU10"/>
        <s v="SKU11"/>
        <s v="SKU12"/>
        <s v="SKU13"/>
        <s v="SKU14"/>
        <s v="SKU15"/>
        <s v="SKU16"/>
        <s v="SKU17"/>
        <s v="SKU18"/>
        <s v="SKU19"/>
        <s v="SKU2"/>
        <s v="SKU20"/>
        <s v="SKU21"/>
        <s v="SKU22"/>
        <s v="SKU23"/>
        <s v="SKU24"/>
        <s v="SKU25"/>
        <s v="SKU26"/>
        <s v="SKU27"/>
        <s v="SKU28"/>
        <s v="SKU29"/>
        <s v="SKU3"/>
        <s v="SKU30"/>
        <s v="SKU31"/>
        <s v="SKU32"/>
        <s v="SKU33"/>
        <s v="SKU34"/>
        <s v="SKU35"/>
        <s v="SKU36"/>
        <s v="SKU37"/>
        <s v="SKU38"/>
        <s v="SKU39"/>
        <s v="SKU4"/>
        <s v="SKU40"/>
        <s v="SKU41"/>
        <s v="SKU42"/>
        <s v="SKU43"/>
        <s v="SKU44"/>
        <s v="SKU45"/>
        <s v="SKU46"/>
        <s v="SKU47"/>
        <s v="SKU48"/>
        <s v="SKU49"/>
        <s v="SKU5"/>
        <s v="SKU50"/>
        <s v="SKU51"/>
        <s v="SKU52"/>
        <s v="SKU53"/>
        <s v="SKU54"/>
        <s v="SKU55"/>
        <s v="SKU56"/>
        <s v="SKU57"/>
        <s v="SKU58"/>
        <s v="SKU59"/>
        <s v="SKU6"/>
        <s v="SKU60"/>
        <s v="SKU61"/>
        <s v="SKU62"/>
        <s v="SKU63"/>
        <s v="SKU64"/>
        <s v="SKU65"/>
        <s v="SKU66"/>
        <s v="SKU67"/>
        <s v="SKU68"/>
        <s v="SKU69"/>
        <s v="SKU7"/>
        <s v="SKU70"/>
        <s v="SKU71"/>
        <s v="SKU72"/>
        <s v="SKU73"/>
        <s v="SKU74"/>
        <s v="SKU75"/>
        <s v="SKU76"/>
        <s v="SKU77"/>
        <s v="SKU78"/>
        <s v="SKU79"/>
        <s v="SKU8"/>
        <s v="SKU80"/>
        <s v="SKU81"/>
        <s v="SKU82"/>
        <s v="SKU83"/>
        <s v="SKU84"/>
        <s v="SKU85"/>
        <s v="SKU86"/>
        <s v="SKU87"/>
        <s v="SKU88"/>
        <s v="SKU89"/>
        <s v="SKU9"/>
        <s v="SKU90"/>
        <s v="SKU91"/>
        <s v="SKU92"/>
        <s v="SKU93"/>
        <s v="SKU94"/>
        <s v="SKU95"/>
        <s v="SKU96"/>
        <s v="SKU97"/>
        <s v="SKU98"/>
        <s v="SKU99"/>
      </sharedItems>
    </cacheField>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2" memberValueDatatype="130" unbalanced="0">
      <fieldsUsage count="2">
        <fieldUsage x="-1"/>
        <fieldUsage x="1"/>
      </fieldsUsage>
    </cacheHierarchy>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oneField="1">
      <fieldsUsage count="1">
        <fieldUsage x="0"/>
      </fieldsUsage>
    </cacheHierarchy>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4120373" backgroundQuery="1" createdVersion="8" refreshedVersion="8" minRefreshableVersion="3" recordCount="0" supportSubquery="1" supportAdvancedDrill="1" xr:uid="{0D0B2A75-820F-425B-98DE-C7B1780E9912}">
  <cacheSource type="external" connectionId="3"/>
  <cacheFields count="3">
    <cacheField name="[Supply Chain Analysis].[SKU].[SKU]" caption="SKU" numFmtId="0" hierarchy="1" level="1">
      <sharedItems count="100">
        <s v="SKU0"/>
        <s v="SKU1"/>
        <s v="SKU10"/>
        <s v="SKU11"/>
        <s v="SKU12"/>
        <s v="SKU13"/>
        <s v="SKU14"/>
        <s v="SKU15"/>
        <s v="SKU16"/>
        <s v="SKU17"/>
        <s v="SKU18"/>
        <s v="SKU19"/>
        <s v="SKU2"/>
        <s v="SKU20"/>
        <s v="SKU21"/>
        <s v="SKU22"/>
        <s v="SKU23"/>
        <s v="SKU24"/>
        <s v="SKU25"/>
        <s v="SKU26"/>
        <s v="SKU27"/>
        <s v="SKU28"/>
        <s v="SKU29"/>
        <s v="SKU3"/>
        <s v="SKU30"/>
        <s v="SKU31"/>
        <s v="SKU32"/>
        <s v="SKU33"/>
        <s v="SKU34"/>
        <s v="SKU35"/>
        <s v="SKU36"/>
        <s v="SKU37"/>
        <s v="SKU38"/>
        <s v="SKU39"/>
        <s v="SKU4"/>
        <s v="SKU40"/>
        <s v="SKU41"/>
        <s v="SKU42"/>
        <s v="SKU43"/>
        <s v="SKU44"/>
        <s v="SKU45"/>
        <s v="SKU46"/>
        <s v="SKU47"/>
        <s v="SKU48"/>
        <s v="SKU49"/>
        <s v="SKU5"/>
        <s v="SKU50"/>
        <s v="SKU51"/>
        <s v="SKU52"/>
        <s v="SKU53"/>
        <s v="SKU54"/>
        <s v="SKU55"/>
        <s v="SKU56"/>
        <s v="SKU57"/>
        <s v="SKU58"/>
        <s v="SKU59"/>
        <s v="SKU6"/>
        <s v="SKU60"/>
        <s v="SKU61"/>
        <s v="SKU62"/>
        <s v="SKU63"/>
        <s v="SKU64"/>
        <s v="SKU65"/>
        <s v="SKU66"/>
        <s v="SKU67"/>
        <s v="SKU68"/>
        <s v="SKU69"/>
        <s v="SKU7"/>
        <s v="SKU70"/>
        <s v="SKU71"/>
        <s v="SKU72"/>
        <s v="SKU73"/>
        <s v="SKU74"/>
        <s v="SKU75"/>
        <s v="SKU76"/>
        <s v="SKU77"/>
        <s v="SKU78"/>
        <s v="SKU79"/>
        <s v="SKU8"/>
        <s v="SKU80"/>
        <s v="SKU81"/>
        <s v="SKU82"/>
        <s v="SKU83"/>
        <s v="SKU84"/>
        <s v="SKU85"/>
        <s v="SKU86"/>
        <s v="SKU87"/>
        <s v="SKU88"/>
        <s v="SKU89"/>
        <s v="SKU9"/>
        <s v="SKU90"/>
        <s v="SKU91"/>
        <s v="SKU92"/>
        <s v="SKU93"/>
        <s v="SKU94"/>
        <s v="SKU95"/>
        <s v="SKU96"/>
        <s v="SKU97"/>
        <s v="SKU98"/>
        <s v="SKU99"/>
      </sharedItems>
    </cacheField>
    <cacheField name="[Measures].[Total Stock Levels]" caption="Total Stock Levels" numFmtId="0" hierarchy="64"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2" memberValueDatatype="130" unbalanced="0">
      <fieldsUsage count="2">
        <fieldUsage x="-1"/>
        <fieldUsage x="0"/>
      </fieldsUsage>
    </cacheHierarchy>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oneField="1">
      <fieldsUsage count="1">
        <fieldUsage x="1"/>
      </fieldsUsage>
    </cacheHierarchy>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4699073" backgroundQuery="1" createdVersion="8" refreshedVersion="8" minRefreshableVersion="3" recordCount="0" supportSubquery="1" supportAdvancedDrill="1" xr:uid="{77378EB3-313C-4C36-9A74-8A973330BC2A}">
  <cacheSource type="external" connectionId="3"/>
  <cacheFields count="3">
    <cacheField name="[Measures].[Average Defect Rate]" caption="Average Defect Rate" numFmtId="0" hierarchy="61" level="32767"/>
    <cacheField name="[Supply Chain Analysis].[Product type].[Product type]" caption="Product type" numFmtId="0" level="1">
      <sharedItems count="3">
        <s v="Cosmetics"/>
        <s v="Haircare"/>
        <s v="Skincare"/>
      </sharedItems>
    </cacheField>
    <cacheField name="[Supply Chain Analysis].[Transportation modes].[Transportation modes]" caption="Transportation modes" numFmtId="0" hierarchy="21" level="1">
      <sharedItems count="4">
        <s v="Air"/>
        <s v="Rail"/>
        <s v="Road"/>
        <s v="Sea"/>
      </sharedItems>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1"/>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2" memberValueDatatype="130" unbalanced="0">
      <fieldsUsage count="2">
        <fieldUsage x="-1"/>
        <fieldUsage x="2"/>
      </fieldsUsage>
    </cacheHierarchy>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oneField="1">
      <fieldsUsage count="1">
        <fieldUsage x="0"/>
      </fieldsUsage>
    </cacheHierarchy>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5046297" backgroundQuery="1" createdVersion="8" refreshedVersion="8" minRefreshableVersion="3" recordCount="0" supportSubquery="1" supportAdvancedDrill="1" xr:uid="{25E04271-BAFE-4DF0-B785-5017F7B56DF9}">
  <cacheSource type="external" connectionId="3"/>
  <cacheFields count="3">
    <cacheField name="[Supply Chain Analysis].[Shipping carriers].[Shipping carriers]" caption="Shipping carriers" numFmtId="0" hierarchy="11" level="1">
      <sharedItems count="3">
        <s v="Carrier A"/>
        <s v="Carrier B"/>
        <s v="Carrier C"/>
      </sharedItems>
    </cacheField>
    <cacheField name="[Measures].[Sum of Shipping costs]" caption="Sum of Shipping costs" numFmtId="0" hierarchy="49"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2" memberValueDatatype="130" unbalanced="0">
      <fieldsUsage count="2">
        <fieldUsage x="-1"/>
        <fieldUsage x="0"/>
      </fieldsUsage>
    </cacheHierarchy>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oneField="1">
      <fieldsUsage count="1">
        <fieldUsage x="1"/>
      </fieldsUsage>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5509258" backgroundQuery="1" createdVersion="8" refreshedVersion="8" minRefreshableVersion="3" recordCount="0" supportSubquery="1" supportAdvancedDrill="1" xr:uid="{8B48FDA0-B19D-4315-8991-82A375D519F6}">
  <cacheSource type="external" connectionId="3"/>
  <cacheFields count="3">
    <cacheField name="[Supply Chain Analysis].[Transportation modes].[Transportation modes]" caption="Transportation modes" numFmtId="0" hierarchy="21" level="1">
      <sharedItems count="4">
        <s v="Air"/>
        <s v="Rail"/>
        <s v="Road"/>
        <s v="Sea"/>
      </sharedItems>
    </cacheField>
    <cacheField name="[Measures].[Sum of Transportation Costs]" caption="Sum of Transportation Costs" numFmtId="0" hierarchy="50"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2" memberValueDatatype="130" unbalanced="0">
      <fieldsUsage count="2">
        <fieldUsage x="-1"/>
        <fieldUsage x="0"/>
      </fieldsUsage>
    </cacheHierarchy>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oneField="1">
      <fieldsUsage count="1">
        <fieldUsage x="1"/>
      </fieldsUsage>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5856482" backgroundQuery="1" createdVersion="8" refreshedVersion="8" minRefreshableVersion="3" recordCount="0" supportSubquery="1" supportAdvancedDrill="1" xr:uid="{377CB45C-AD45-48DB-992D-59F77FBFB4D7}">
  <cacheSource type="external" connectionId="3"/>
  <cacheFields count="3">
    <cacheField name="[Supply Chain Analysis].[Supplier name].[Supplier name]" caption="Supplier name" numFmtId="0" hierarchy="13" level="1">
      <sharedItems count="5">
        <s v="Supplier 1"/>
        <s v="Supplier 2"/>
        <s v="Supplier 3"/>
        <s v="Supplier 4"/>
        <s v="Supplier 5"/>
      </sharedItems>
    </cacheField>
    <cacheField name="[Measures].[Average of Suppliers Lead times]" caption="Average of Suppliers Lead times" numFmtId="0" hierarchy="52"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2" memberValueDatatype="130" unbalanced="0">
      <fieldsUsage count="2">
        <fieldUsage x="-1"/>
        <fieldUsage x="0"/>
      </fieldsUsage>
    </cacheHierarchy>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oneField="1">
      <fieldsUsage count="1">
        <fieldUsage x="1"/>
      </fieldsUsage>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6203705" backgroundQuery="1" createdVersion="8" refreshedVersion="8" minRefreshableVersion="3" recordCount="0" supportSubquery="1" supportAdvancedDrill="1" xr:uid="{B2F867D4-8372-4160-AD3E-27659C3BB1D7}">
  <cacheSource type="external" connectionId="3"/>
  <cacheFields count="3">
    <cacheField name="[Supply Chain Analysis].[Transportation modes].[Transportation modes]" caption="Transportation modes" numFmtId="0" hierarchy="21" level="1">
      <sharedItems count="4">
        <s v="Air"/>
        <s v="Rail"/>
        <s v="Road"/>
        <s v="Sea"/>
      </sharedItems>
    </cacheField>
    <cacheField name="[Measures].[Average Defect Rate]" caption="Average Defect Rate" numFmtId="0" hierarchy="61"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2" memberValueDatatype="130" unbalanced="0">
      <fieldsUsage count="2">
        <fieldUsage x="-1"/>
        <fieldUsage x="0"/>
      </fieldsUsage>
    </cacheHierarchy>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oneField="1">
      <fieldsUsage count="1">
        <fieldUsage x="1"/>
      </fieldsUsage>
    </cacheHierarchy>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6550928" backgroundQuery="1" createdVersion="8" refreshedVersion="8" minRefreshableVersion="3" recordCount="0" supportSubquery="1" supportAdvancedDrill="1" xr:uid="{F9936E3C-AFF5-4351-83A9-CB9846308BF9}">
  <cacheSource type="external" connectionId="3"/>
  <cacheFields count="3">
    <cacheField name="[Measures].[Average shipping time]" caption="Average shipping time" numFmtId="0" hierarchy="62" level="32767"/>
    <cacheField name="[Supply Chain Analysis].[Shipping carriers].[Shipping carriers]" caption="Shipping carriers" numFmtId="0" hierarchy="11" level="1">
      <sharedItems count="3">
        <s v="Carrier A"/>
        <s v="Carrier B"/>
        <s v="Carrier C"/>
      </sharedItems>
    </cacheField>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2" memberValueDatatype="130" unbalanced="0">
      <fieldsUsage count="2">
        <fieldUsage x="-1"/>
        <fieldUsage x="1"/>
      </fieldsUsage>
    </cacheHierarchy>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oneField="1">
      <fieldsUsage count="1">
        <fieldUsage x="0"/>
      </fieldsUsage>
    </cacheHierarchy>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701389" backgroundQuery="1" createdVersion="8" refreshedVersion="8" minRefreshableVersion="3" recordCount="0" supportSubquery="1" supportAdvancedDrill="1" xr:uid="{3AB1186F-1296-41A2-8D24-97C4504627F9}">
  <cacheSource type="external" connectionId="3"/>
  <cacheFields count="4">
    <cacheField name="[Supply Chain Analysis].[Transportation modes].[Transportation modes]" caption="Transportation modes" numFmtId="0" hierarchy="21" level="1">
      <sharedItems count="4">
        <s v="Air"/>
        <s v="Rail"/>
        <s v="Road"/>
        <s v="Sea"/>
      </sharedItems>
    </cacheField>
    <cacheField name="[Measures].[Total Orders]" caption="Total Orders" numFmtId="0" hierarchy="58" level="32767"/>
    <cacheField name="[Measures].[Average of Suppliers Lead times]" caption="Average of Suppliers Lead times" numFmtId="0" hierarchy="52"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3"/>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2" memberValueDatatype="130" unbalanced="0">
      <fieldsUsage count="2">
        <fieldUsage x="-1"/>
        <fieldUsage x="0"/>
      </fieldsUsage>
    </cacheHierarchy>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oneField="1">
      <fieldsUsage count="1">
        <fieldUsage x="2"/>
      </fieldsUsage>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oneField="1">
      <fieldsUsage count="1">
        <fieldUsage x="1"/>
      </fieldsUsage>
    </cacheHierarchy>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88567361113" backgroundQuery="1" createdVersion="8" refreshedVersion="8" minRefreshableVersion="3" recordCount="0" supportSubquery="1" supportAdvancedDrill="1" xr:uid="{AB7ECD14-FF07-4D92-AFD6-268ED652E937}">
  <cacheSource type="external" connectionId="3"/>
  <cacheFields count="3">
    <cacheField name="[Supply Chain Analysis].[Routes].[Routes]" caption="Routes" numFmtId="0" hierarchy="22" level="1">
      <sharedItems count="3">
        <s v="Route A"/>
        <s v="Route B"/>
        <s v="Route C"/>
      </sharedItems>
    </cacheField>
    <cacheField name="[Measures].[Average Transportation Costs]" caption="Average Transportation Costs" numFmtId="0" hierarchy="63" level="32767"/>
    <cacheField name="[Supply Chain Analysis].[Product type].[Product type]" caption="Product type" numFmtId="0" level="1">
      <sharedItems containsSemiMixedTypes="0" containsNonDate="0" containsString="0"/>
    </cacheField>
  </cacheFields>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fieldsUsage count="2">
        <fieldUsage x="-1"/>
        <fieldUsage x="2"/>
      </fieldsUsage>
    </cacheHierarchy>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2" memberValueDatatype="130" unbalanced="0">
      <fieldsUsage count="2">
        <fieldUsage x="-1"/>
        <fieldUsage x="0"/>
      </fieldsUsage>
    </cacheHierarchy>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oneField="1">
      <fieldsUsage count="1">
        <fieldUsage x="1"/>
      </fieldsUsage>
    </cacheHierarchy>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dimensions count="3">
    <dimension measure="1" name="Measures" uniqueName="[Measures]" caption="Measures"/>
    <dimension name="Supply Chain Analysis" uniqueName="[Supply Chain Analysis]" caption="Supply Chain Analysis"/>
    <dimension name="Supply_Chain_Analysis" uniqueName="[Supply_Chain_Analysis]" caption="Supply_Chain_Analysis"/>
  </dimensions>
  <measureGroups count="2">
    <measureGroup name="Supply Chain Analysis" caption="Supply Chain Analysis"/>
    <measureGroup name="Supply_Chain_Analysis" caption="Supply_Chain_Analysi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2.976822453704" backgroundQuery="1" createdVersion="3" refreshedVersion="8" minRefreshableVersion="3" recordCount="0" supportSubquery="1" supportAdvancedDrill="1" xr:uid="{8E4C8ED1-C73F-41E3-B59B-F5BDFB73D5F3}">
  <cacheSource type="external" connectionId="3">
    <extLst>
      <ext xmlns:x14="http://schemas.microsoft.com/office/spreadsheetml/2009/9/main" uri="{F057638F-6D5F-4e77-A914-E7F072B9BCA8}">
        <x14:sourceConnection name="ThisWorkbookDataModel"/>
      </ext>
    </extLst>
  </cacheSource>
  <cacheFields count="0"/>
  <cacheHierarchies count="68">
    <cacheHierarchy uniqueName="[Supply Chain Analysis].[Product type]" caption="Product type" attribute="1" defaultMemberUniqueName="[Supply Chain Analysis].[Product type].[All]" allUniqueName="[Supply Chain Analysis].[Product type].[All]" dimensionUniqueName="[Supply Chain Analysis]" displayFolder="" count="2" memberValueDatatype="130" unbalanced="0"/>
    <cacheHierarchy uniqueName="[Supply Chain Analysis].[SKU]" caption="SKU" attribute="1" defaultMemberUniqueName="[Supply Chain Analysis].[SKU].[All]" allUniqueName="[Supply Chain Analysis].[SKU].[All]" dimensionUniqueName="[Supply Chain Analysis]" displayFolder="" count="0" memberValueDatatype="130" unbalanced="0"/>
    <cacheHierarchy uniqueName="[Supply Chain Analysis].[Availability]" caption="Availability" attribute="1" defaultMemberUniqueName="[Supply Chain Analysis].[Availability].[All]" allUniqueName="[Supply Chain Analysis].[Availability].[All]" dimensionUniqueName="[Supply Chain Analysis]" displayFolder="" count="0" memberValueDatatype="20" unbalanced="0"/>
    <cacheHierarchy uniqueName="[Supply Chain Analysis].[Price]" caption="Price" attribute="1" defaultMemberUniqueName="[Supply Chain Analysis].[Price].[All]" allUniqueName="[Supply Chain Analysis].[Price].[All]" dimensionUniqueName="[Supply Chain Analysis]" displayFolder="" count="0" memberValueDatatype="5" unbalanced="0"/>
    <cacheHierarchy uniqueName="[Supply Chain Analysis].[Number of products sold]" caption="Number of products sold" attribute="1" defaultMemberUniqueName="[Supply Chain Analysis].[Number of products sold].[All]" allUniqueName="[Supply Chain Analysis].[Number of products sold].[All]" dimensionUniqueName="[Supply Chain Analysis]" displayFolder="" count="0" memberValueDatatype="20" unbalanced="0"/>
    <cacheHierarchy uniqueName="[Supply Chain Analysis].[Revenue Generated]" caption="Revenue Generated" attribute="1" defaultMemberUniqueName="[Supply Chain Analysis].[Revenue Generated].[All]" allUniqueName="[Supply Chain Analysis].[Revenue Generated].[All]" dimensionUniqueName="[Supply Chain Analysis]" displayFolder="" count="0" memberValueDatatype="5" unbalanced="0"/>
    <cacheHierarchy uniqueName="[Supply Chain Analysis].[Customer demographics]" caption="Customer demographics" attribute="1" defaultMemberUniqueName="[Supply Chain Analysis].[Customer demographics].[All]" allUniqueName="[Supply Chain Analysis].[Customer demographics].[All]" dimensionUniqueName="[Supply Chain Analysis]" displayFolder="" count="2" memberValueDatatype="130" unbalanced="0"/>
    <cacheHierarchy uniqueName="[Supply Chain Analysis].[Stock levels]" caption="Stock levels" attribute="1" defaultMemberUniqueName="[Supply Chain Analysis].[Stock levels].[All]" allUniqueName="[Supply Chain Analysis].[Stock levels].[All]" dimensionUniqueName="[Supply Chain Analysis]" displayFolder="" count="0" memberValueDatatype="20" unbalanced="0"/>
    <cacheHierarchy uniqueName="[Supply Chain Analysis].[Suppliers Lead times]" caption="Suppliers Lead times" attribute="1" defaultMemberUniqueName="[Supply Chain Analysis].[Suppliers Lead times].[All]" allUniqueName="[Supply Chain Analysis].[Suppliers Lead times].[All]" dimensionUniqueName="[Supply Chain Analysis]" displayFolder="" count="0" memberValueDatatype="20" unbalanced="0"/>
    <cacheHierarchy uniqueName="[Supply Chain Analysis].[Order quantities]" caption="Order quantities" attribute="1" defaultMemberUniqueName="[Supply Chain Analysis].[Order quantities].[All]" allUniqueName="[Supply Chain Analysis].[Order quantities].[All]" dimensionUniqueName="[Supply Chain Analysis]" displayFolder="" count="0" memberValueDatatype="20" unbalanced="0"/>
    <cacheHierarchy uniqueName="[Supply Chain Analysis].[Shipping times]" caption="Shipping times" attribute="1" defaultMemberUniqueName="[Supply Chain Analysis].[Shipping times].[All]" allUniqueName="[Supply Chain Analysis].[Shipping times].[All]" dimensionUniqueName="[Supply Chain Analysis]" displayFolder="" count="0" memberValueDatatype="20" unbalanced="0"/>
    <cacheHierarchy uniqueName="[Supply Chain Analysis].[Shipping carriers]" caption="Shipping carriers" attribute="1" defaultMemberUniqueName="[Supply Chain Analysis].[Shipping carriers].[All]" allUniqueName="[Supply Chain Analysis].[Shipping carriers].[All]" dimensionUniqueName="[Supply Chain Analysis]" displayFolder="" count="0" memberValueDatatype="130" unbalanced="0"/>
    <cacheHierarchy uniqueName="[Supply Chain Analysis].[Shipping costs]" caption="Shipping costs" attribute="1" defaultMemberUniqueName="[Supply Chain Analysis].[Shipping costs].[All]" allUniqueName="[Supply Chain Analysis].[Shipping costs].[All]" dimensionUniqueName="[Supply Chain Analysis]" displayFolder="" count="0" memberValueDatatype="5" unbalanced="0"/>
    <cacheHierarchy uniqueName="[Supply Chain Analysis].[Supplier name]" caption="Supplier name" attribute="1" defaultMemberUniqueName="[Supply Chain Analysis].[Supplier name].[All]" allUniqueName="[Supply Chain Analysis].[Supplier name].[All]" dimensionUniqueName="[Supply Chain Analysis]" displayFolder="" count="0" memberValueDatatype="130" unbalanced="0"/>
    <cacheHierarchy uniqueName="[Supply Chain Analysis].[Location]" caption="Location" attribute="1" defaultMemberUniqueName="[Supply Chain Analysis].[Location].[All]" allUniqueName="[Supply Chain Analysis].[Location].[All]" dimensionUniqueName="[Supply Chain Analysis]" displayFolder="" count="2" memberValueDatatype="130" unbalanced="0"/>
    <cacheHierarchy uniqueName="[Supply Chain Analysis].[Shipping Lead time]" caption="Shipping Lead time" attribute="1" defaultMemberUniqueName="[Supply Chain Analysis].[Shipping Lead time].[All]" allUniqueName="[Supply Chain Analysis].[Shipping Lead time].[All]" dimensionUniqueName="[Supply Chain Analysis]" displayFolder="" count="0" memberValueDatatype="20" unbalanced="0"/>
    <cacheHierarchy uniqueName="[Supply Chain Analysis].[Production volumes]" caption="Production volumes" attribute="1" defaultMemberUniqueName="[Supply Chain Analysis].[Production volumes].[All]" allUniqueName="[Supply Chain Analysis].[Production volumes].[All]" dimensionUniqueName="[Supply Chain Analysis]" displayFolder="" count="0" memberValueDatatype="20" unbalanced="0"/>
    <cacheHierarchy uniqueName="[Supply Chain Analysis].[Manufacturing lead time]" caption="Manufacturing lead time" attribute="1" defaultMemberUniqueName="[Supply Chain Analysis].[Manufacturing lead time].[All]" allUniqueName="[Supply Chain Analysis].[Manufacturing lead time].[All]" dimensionUniqueName="[Supply Chain Analysis]" displayFolder="" count="0" memberValueDatatype="20" unbalanced="0"/>
    <cacheHierarchy uniqueName="[Supply Chain Analysis].[Manufacturing costs]" caption="Manufacturing costs" attribute="1" defaultMemberUniqueName="[Supply Chain Analysis].[Manufacturing costs].[All]" allUniqueName="[Supply Chain Analysis].[Manufacturing costs].[All]" dimensionUniqueName="[Supply Chain Analysis]" displayFolder="" count="0" memberValueDatatype="5" unbalanced="0"/>
    <cacheHierarchy uniqueName="[Supply Chain Analysis].[Inspection results]" caption="Inspection results" attribute="1" defaultMemberUniqueName="[Supply Chain Analysis].[Inspection results].[All]" allUniqueName="[Supply Chain Analysis].[Inspection results].[All]" dimensionUniqueName="[Supply Chain Analysis]" displayFolder="" count="0" memberValueDatatype="130" unbalanced="0"/>
    <cacheHierarchy uniqueName="[Supply Chain Analysis].[Defect rates]" caption="Defect rates" attribute="1" defaultMemberUniqueName="[Supply Chain Analysis].[Defect rates].[All]" allUniqueName="[Supply Chain Analysis].[Defect rates].[All]" dimensionUniqueName="[Supply Chain Analysis]" displayFolder="" count="0" memberValueDatatype="5" unbalanced="0"/>
    <cacheHierarchy uniqueName="[Supply Chain Analysis].[Transportation modes]" caption="Transportation modes" attribute="1" defaultMemberUniqueName="[Supply Chain Analysis].[Transportation modes].[All]" allUniqueName="[Supply Chain Analysis].[Transportation modes].[All]" dimensionUniqueName="[Supply Chain Analysis]" displayFolder="" count="0" memberValueDatatype="130" unbalanced="0"/>
    <cacheHierarchy uniqueName="[Supply Chain Analysis].[Routes]" caption="Routes" attribute="1" defaultMemberUniqueName="[Supply Chain Analysis].[Routes].[All]" allUniqueName="[Supply Chain Analysis].[Routes].[All]" dimensionUniqueName="[Supply Chain Analysis]" displayFolder="" count="0" memberValueDatatype="130" unbalanced="0"/>
    <cacheHierarchy uniqueName="[Supply Chain Analysis].[Transportation Costs]" caption="Transportation Costs" attribute="1" defaultMemberUniqueName="[Supply Chain Analysis].[Transportation Costs].[All]" allUniqueName="[Supply Chain Analysis].[Transportation Costs].[All]" dimensionUniqueName="[Supply Chain Analysis]" displayFolder="" count="0" memberValueDatatype="5" unbalanced="0"/>
    <cacheHierarchy uniqueName="[Supply_Chain_Analysis].[Product type]" caption="Product type" attribute="1" defaultMemberUniqueName="[Supply_Chain_Analysis].[Product type].[All]" allUniqueName="[Supply_Chain_Analysis].[Product type].[All]" dimensionUniqueName="[Supply_Chain_Analysis]" displayFolder="" count="0" memberValueDatatype="130" unbalanced="0"/>
    <cacheHierarchy uniqueName="[Supply_Chain_Analysis].[SKU]" caption="SKU" attribute="1" defaultMemberUniqueName="[Supply_Chain_Analysis].[SKU].[All]" allUniqueName="[Supply_Chain_Analysis].[SKU].[All]" dimensionUniqueName="[Supply_Chain_Analysis]" displayFolder="" count="0" memberValueDatatype="130" unbalanced="0"/>
    <cacheHierarchy uniqueName="[Supply_Chain_Analysis].[Availability]" caption="Availability" attribute="1" defaultMemberUniqueName="[Supply_Chain_Analysis].[Availability].[All]" allUniqueName="[Supply_Chain_Analysis].[Availability].[All]" dimensionUniqueName="[Supply_Chain_Analysis]" displayFolder="" count="0" memberValueDatatype="20" unbalanced="0"/>
    <cacheHierarchy uniqueName="[Supply_Chain_Analysis].[Price]" caption="Price" attribute="1" defaultMemberUniqueName="[Supply_Chain_Analysis].[Price].[All]" allUniqueName="[Supply_Chain_Analysis].[Price].[All]" dimensionUniqueName="[Supply_Chain_Analysis]" displayFolder="" count="0" memberValueDatatype="5" unbalanced="0"/>
    <cacheHierarchy uniqueName="[Supply_Chain_Analysis].[Number of products sold]" caption="Number of products sold" attribute="1" defaultMemberUniqueName="[Supply_Chain_Analysis].[Number of products sold].[All]" allUniqueName="[Supply_Chain_Analysis].[Number of products sold].[All]" dimensionUniqueName="[Supply_Chain_Analysis]" displayFolder="" count="0" memberValueDatatype="20" unbalanced="0"/>
    <cacheHierarchy uniqueName="[Supply_Chain_Analysis].[Revenue Generated]" caption="Revenue Generated" attribute="1" defaultMemberUniqueName="[Supply_Chain_Analysis].[Revenue Generated].[All]" allUniqueName="[Supply_Chain_Analysis].[Revenue Generated].[All]" dimensionUniqueName="[Supply_Chain_Analysis]" displayFolder="" count="0" memberValueDatatype="5" unbalanced="0"/>
    <cacheHierarchy uniqueName="[Supply_Chain_Analysis].[Customer demographics]" caption="Customer demographics" attribute="1" defaultMemberUniqueName="[Supply_Chain_Analysis].[Customer demographics].[All]" allUniqueName="[Supply_Chain_Analysis].[Customer demographics].[All]" dimensionUniqueName="[Supply_Chain_Analysis]" displayFolder="" count="0" memberValueDatatype="130" unbalanced="0"/>
    <cacheHierarchy uniqueName="[Supply_Chain_Analysis].[Stock levels]" caption="Stock levels" attribute="1" defaultMemberUniqueName="[Supply_Chain_Analysis].[Stock levels].[All]" allUniqueName="[Supply_Chain_Analysis].[Stock levels].[All]" dimensionUniqueName="[Supply_Chain_Analysis]" displayFolder="" count="0" memberValueDatatype="20" unbalanced="0"/>
    <cacheHierarchy uniqueName="[Supply_Chain_Analysis].[Lead times]" caption="Lead times" attribute="1" defaultMemberUniqueName="[Supply_Chain_Analysis].[Lead times].[All]" allUniqueName="[Supply_Chain_Analysis].[Lead times].[All]" dimensionUniqueName="[Supply_Chain_Analysis]" displayFolder="" count="0" memberValueDatatype="20" unbalanced="0"/>
    <cacheHierarchy uniqueName="[Supply_Chain_Analysis].[Order quantities]" caption="Order quantities" attribute="1" defaultMemberUniqueName="[Supply_Chain_Analysis].[Order quantities].[All]" allUniqueName="[Supply_Chain_Analysis].[Order quantities].[All]" dimensionUniqueName="[Supply_Chain_Analysis]" displayFolder="" count="0" memberValueDatatype="20" unbalanced="0"/>
    <cacheHierarchy uniqueName="[Supply_Chain_Analysis].[Shipping times]" caption="Shipping times" attribute="1" defaultMemberUniqueName="[Supply_Chain_Analysis].[Shipping times].[All]" allUniqueName="[Supply_Chain_Analysis].[Shipping times].[All]" dimensionUniqueName="[Supply_Chain_Analysis]" displayFolder="" count="0" memberValueDatatype="20" unbalanced="0"/>
    <cacheHierarchy uniqueName="[Supply_Chain_Analysis].[Shipping carriers]" caption="Shipping carriers" attribute="1" defaultMemberUniqueName="[Supply_Chain_Analysis].[Shipping carriers].[All]" allUniqueName="[Supply_Chain_Analysis].[Shipping carriers].[All]" dimensionUniqueName="[Supply_Chain_Analysis]" displayFolder="" count="0" memberValueDatatype="130" unbalanced="0"/>
    <cacheHierarchy uniqueName="[Supply_Chain_Analysis].[Shipping costs]" caption="Shipping costs" attribute="1" defaultMemberUniqueName="[Supply_Chain_Analysis].[Shipping costs].[All]" allUniqueName="[Supply_Chain_Analysis].[Shipping costs].[All]" dimensionUniqueName="[Supply_Chain_Analysis]" displayFolder="" count="0" memberValueDatatype="5" unbalanced="0"/>
    <cacheHierarchy uniqueName="[Supply_Chain_Analysis].[Supplier name]" caption="Supplier name" attribute="1" defaultMemberUniqueName="[Supply_Chain_Analysis].[Supplier name].[All]" allUniqueName="[Supply_Chain_Analysis].[Supplier name].[All]" dimensionUniqueName="[Supply_Chain_Analysis]" displayFolder="" count="0" memberValueDatatype="130" unbalanced="0"/>
    <cacheHierarchy uniqueName="[Supply_Chain_Analysis].[Location]" caption="Location" attribute="1" defaultMemberUniqueName="[Supply_Chain_Analysis].[Location].[All]" allUniqueName="[Supply_Chain_Analysis].[Location].[All]" dimensionUniqueName="[Supply_Chain_Analysis]" displayFolder="" count="0" memberValueDatatype="130" unbalanced="0"/>
    <cacheHierarchy uniqueName="[Supply_Chain_Analysis].[Lead time]" caption="Lead time" attribute="1" defaultMemberUniqueName="[Supply_Chain_Analysis].[Lead time].[All]" allUniqueName="[Supply_Chain_Analysis].[Lead time].[All]" dimensionUniqueName="[Supply_Chain_Analysis]" displayFolder="" count="0" memberValueDatatype="20" unbalanced="0"/>
    <cacheHierarchy uniqueName="[Supply_Chain_Analysis].[Production volumes]" caption="Production volumes" attribute="1" defaultMemberUniqueName="[Supply_Chain_Analysis].[Production volumes].[All]" allUniqueName="[Supply_Chain_Analysis].[Production volumes].[All]" dimensionUniqueName="[Supply_Chain_Analysis]" displayFolder="" count="0" memberValueDatatype="20" unbalanced="0"/>
    <cacheHierarchy uniqueName="[Supply_Chain_Analysis].[Manufacturing lead time]" caption="Manufacturing lead time" attribute="1" defaultMemberUniqueName="[Supply_Chain_Analysis].[Manufacturing lead time].[All]" allUniqueName="[Supply_Chain_Analysis].[Manufacturing lead time].[All]" dimensionUniqueName="[Supply_Chain_Analysis]" displayFolder="" count="0" memberValueDatatype="20" unbalanced="0"/>
    <cacheHierarchy uniqueName="[Supply_Chain_Analysis].[Manufacturing costs]" caption="Manufacturing costs" attribute="1" defaultMemberUniqueName="[Supply_Chain_Analysis].[Manufacturing costs].[All]" allUniqueName="[Supply_Chain_Analysis].[Manufacturing costs].[All]" dimensionUniqueName="[Supply_Chain_Analysis]" displayFolder="" count="0" memberValueDatatype="5" unbalanced="0"/>
    <cacheHierarchy uniqueName="[Supply_Chain_Analysis].[Inspection results]" caption="Inspection results" attribute="1" defaultMemberUniqueName="[Supply_Chain_Analysis].[Inspection results].[All]" allUniqueName="[Supply_Chain_Analysis].[Inspection results].[All]" dimensionUniqueName="[Supply_Chain_Analysis]" displayFolder="" count="0" memberValueDatatype="130" unbalanced="0"/>
    <cacheHierarchy uniqueName="[Supply_Chain_Analysis].[Defect rates]" caption="Defect rates" attribute="1" defaultMemberUniqueName="[Supply_Chain_Analysis].[Defect rates].[All]" allUniqueName="[Supply_Chain_Analysis].[Defect rates].[All]" dimensionUniqueName="[Supply_Chain_Analysis]" displayFolder="" count="0" memberValueDatatype="5" unbalanced="0"/>
    <cacheHierarchy uniqueName="[Supply_Chain_Analysis].[Transportation modes]" caption="Transportation modes" attribute="1" defaultMemberUniqueName="[Supply_Chain_Analysis].[Transportation modes].[All]" allUniqueName="[Supply_Chain_Analysis].[Transportation modes].[All]" dimensionUniqueName="[Supply_Chain_Analysis]" displayFolder="" count="0" memberValueDatatype="130" unbalanced="0"/>
    <cacheHierarchy uniqueName="[Supply_Chain_Analysis].[Routes]" caption="Routes" attribute="1" defaultMemberUniqueName="[Supply_Chain_Analysis].[Routes].[All]" allUniqueName="[Supply_Chain_Analysis].[Routes].[All]" dimensionUniqueName="[Supply_Chain_Analysis]" displayFolder="" count="0" memberValueDatatype="130" unbalanced="0"/>
    <cacheHierarchy uniqueName="[Supply_Chain_Analysis].[Transportation Costs]" caption="Transportation Costs" attribute="1" defaultMemberUniqueName="[Supply_Chain_Analysis].[Transportation Costs].[All]" allUniqueName="[Supply_Chain_Analysis].[Transportation Costs].[All]" dimensionUniqueName="[Supply_Chain_Analysis]" displayFolder="" count="0" memberValueDatatype="5" unbalanced="0"/>
    <cacheHierarchy uniqueName="[Measures].[Sum of Revenue Generated]" caption="Sum of Revenue Generated" measure="1" displayFolder="" measureGroup="Supply Chain Analysis" count="0">
      <extLst>
        <ext xmlns:x15="http://schemas.microsoft.com/office/spreadsheetml/2010/11/main" uri="{B97F6D7D-B522-45F9-BDA1-12C45D357490}">
          <x15:cacheHierarchy aggregatedColumn="5"/>
        </ext>
      </extLst>
    </cacheHierarchy>
    <cacheHierarchy uniqueName="[Measures].[Sum of Shipping costs]" caption="Sum of Shipping costs" measure="1" displayFolder="" measureGroup="Supply Chain Analysis" count="0">
      <extLst>
        <ext xmlns:x15="http://schemas.microsoft.com/office/spreadsheetml/2010/11/main" uri="{B97F6D7D-B522-45F9-BDA1-12C45D357490}">
          <x15:cacheHierarchy aggregatedColumn="12"/>
        </ext>
      </extLst>
    </cacheHierarchy>
    <cacheHierarchy uniqueName="[Measures].[Sum of Transportation Costs]" caption="Sum of Transportation Costs" measure="1" displayFolder="" measureGroup="Supply Chain Analysis" count="0">
      <extLst>
        <ext xmlns:x15="http://schemas.microsoft.com/office/spreadsheetml/2010/11/main" uri="{B97F6D7D-B522-45F9-BDA1-12C45D357490}">
          <x15:cacheHierarchy aggregatedColumn="23"/>
        </ext>
      </extLst>
    </cacheHierarchy>
    <cacheHierarchy uniqueName="[Measures].[Sum of Suppliers Lead times]" caption="Sum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Average of Suppliers Lead times]" caption="Average of Suppliers Lead times" measure="1" displayFolder="" measureGroup="Supply Chain Analysis" count="0">
      <extLst>
        <ext xmlns:x15="http://schemas.microsoft.com/office/spreadsheetml/2010/11/main" uri="{B97F6D7D-B522-45F9-BDA1-12C45D357490}">
          <x15:cacheHierarchy aggregatedColumn="8"/>
        </ext>
      </extLst>
    </cacheHierarchy>
    <cacheHierarchy uniqueName="[Measures].[Sum of Price]" caption="Sum of Price" measure="1" displayFolder="" measureGroup="Supply Chain Analysis" count="0">
      <extLst>
        <ext xmlns:x15="http://schemas.microsoft.com/office/spreadsheetml/2010/11/main" uri="{B97F6D7D-B522-45F9-BDA1-12C45D357490}">
          <x15:cacheHierarchy aggregatedColumn="3"/>
        </ext>
      </extLst>
    </cacheHierarchy>
    <cacheHierarchy uniqueName="[Measures].[Count of Product Type]" caption="Count of Product Type" measure="1" displayFolder="" measureGroup="Supply Chain Analysis" count="0"/>
    <cacheHierarchy uniqueName="[Measures].[Average Price  Of  Goods]" caption="Average Price  Of  Goods" measure="1" displayFolder="" measureGroup="Supply Chain Analysis" count="0"/>
    <cacheHierarchy uniqueName="[Measures].[Total Revenue Generated]" caption="Total Revenue Generated" measure="1" displayFolder="" measureGroup="Supply Chain Analysis" count="0"/>
    <cacheHierarchy uniqueName="[Measures].[Products Sold]" caption="Products Sold" measure="1" displayFolder="" measureGroup="Supply Chain Analysis" count="0"/>
    <cacheHierarchy uniqueName="[Measures].[Total Orders]" caption="Total Orders" measure="1" displayFolder="" measureGroup="Supply Chain Analysis" count="0"/>
    <cacheHierarchy uniqueName="[Measures].[Total Shipping Cost]" caption="Total Shipping Cost" measure="1" displayFolder="" measureGroup="Supply Chain Analysis" count="0"/>
    <cacheHierarchy uniqueName="[Measures].[Average S.Leadtime]" caption="Average S.Leadtime" measure="1" displayFolder="" measureGroup="Supply Chain Analysis" count="0"/>
    <cacheHierarchy uniqueName="[Measures].[Average Defect Rate]" caption="Average Defect Rate" measure="1" displayFolder="" measureGroup="Supply Chain Analysis" count="0"/>
    <cacheHierarchy uniqueName="[Measures].[Average shipping time]" caption="Average shipping time" measure="1" displayFolder="" measureGroup="Supply Chain Analysis" count="0"/>
    <cacheHierarchy uniqueName="[Measures].[Average Transportation Costs]" caption="Average Transportation Costs" measure="1" displayFolder="" measureGroup="Supply Chain Analysis" count="0"/>
    <cacheHierarchy uniqueName="[Measures].[Total Stock Levels]" caption="Total Stock Levels" measure="1" displayFolder="" measureGroup="Supply Chain Analysis" count="0"/>
    <cacheHierarchy uniqueName="[Measures].[__XL_Count Supply Chain Analysis]" caption="__XL_Count Supply Chain Analysis" measure="1" displayFolder="" measureGroup="Supply Chain Analysis" count="0" hidden="1"/>
    <cacheHierarchy uniqueName="[Measures].[__XL_Count Supply_Chain_Analysis]" caption="__XL_Count Supply_Chain_Analysis" measure="1" displayFolder="" measureGroup="Supply_Chain_Analysi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73606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F7617A-C5ED-4813-85E2-EBFC977EA366}" name="PivotTable22" cacheId="1067" applyNumberFormats="0" applyBorderFormats="0" applyFontFormats="0" applyPatternFormats="0" applyAlignmentFormats="0" applyWidthHeightFormats="1" dataCaption="Values" tag="16b14c35-1b23-4734-9737-f38a8c5b7162" updatedVersion="8" minRefreshableVersion="3" useAutoFormatting="1" subtotalHiddenItems="1" itemPrintTitles="1" createdVersion="8" indent="0" outline="1" outlineData="1" multipleFieldFilters="0" chartFormat="11" rowHeaderCaption="Transportation Mode">
  <location ref="G25:L30"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s>
  <rowFields count="1">
    <field x="1"/>
  </rowFields>
  <rowItems count="4">
    <i>
      <x/>
    </i>
    <i>
      <x v="1"/>
    </i>
    <i>
      <x v="2"/>
    </i>
    <i t="grand">
      <x/>
    </i>
  </rowItems>
  <colFields count="1">
    <field x="2"/>
  </colFields>
  <colItems count="5">
    <i>
      <x/>
    </i>
    <i>
      <x v="1"/>
    </i>
    <i>
      <x v="2"/>
    </i>
    <i>
      <x v="3"/>
    </i>
    <i t="grand">
      <x/>
    </i>
  </colItems>
  <dataFields count="1">
    <dataField name="Defect Rate" fld="0" subtotal="count" baseField="1" baseItem="0" numFmtId="176"/>
  </dataFields>
  <chartFormats count="4">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 chart="10" format="10" series="1">
      <pivotArea type="data" outline="0" fieldPosition="0">
        <references count="2">
          <reference field="4294967294" count="1" selected="0">
            <x v="0"/>
          </reference>
          <reference field="2" count="1" selected="0">
            <x v="2"/>
          </reference>
        </references>
      </pivotArea>
    </chartFormat>
    <chartFormat chart="10" format="11" series="1">
      <pivotArea type="data" outline="0" fieldPosition="0">
        <references count="2">
          <reference field="4294967294" count="1" selected="0">
            <x v="0"/>
          </reference>
          <reference field="2" count="1" selected="0">
            <x v="3"/>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ect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673DBF-8C7B-41AC-89DD-8EC1E22259AB}" name="PivotTable21" cacheId="1064" applyNumberFormats="0" applyBorderFormats="0" applyFontFormats="0" applyPatternFormats="0" applyAlignmentFormats="0" applyWidthHeightFormats="1" dataCaption="Values" tag="4b6767f0-dd96-4113-a13f-2a78fc05ab47" updatedVersion="8" minRefreshableVersion="3" useAutoFormatting="1" itemPrintTitles="1" createdVersion="8" indent="0" outline="1" outlineData="1" multipleFieldFilters="0" chartFormat="5" rowHeaderCaption="SKU">
  <location ref="P19:Q120" firstHeaderRow="1" firstDataRow="1" firstDataCol="1"/>
  <pivotFields count="3">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allDrilled="1" subtotalTop="0" showAll="0" dataSourceSort="1" defaultSubtotal="0"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nsportation Cost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031F8A-DDD1-41AF-8911-6DC9E20A681B}" name="PivotTable20" cacheId="1061" applyNumberFormats="0" applyBorderFormats="0" applyFontFormats="0" applyPatternFormats="0" applyAlignmentFormats="0" applyWidthHeightFormats="1" dataCaption="Values" tag="0aa311ad-4643-4605-b618-0a15b9d232b0" updatedVersion="8" minRefreshableVersion="3" useAutoFormatting="1" itemPrintTitles="1" createdVersion="8" indent="0" outline="1" outlineData="1" multipleFieldFilters="0" chartFormat="5" rowHeaderCaption="SKU">
  <location ref="M19:N120" firstHeaderRow="1" firstDataRow="1" firstDataCol="1"/>
  <pivotFields count="3">
    <pivotField dataField="1" subtotalTop="0" showAll="0" defaultSubtotal="0"/>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llDrilled="1" subtotalTop="0" showAll="0" dataSourceSort="1" defaultSubtotal="0" defaultAttributeDrillState="1"/>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nsportation Cost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C7578B-8415-40FF-AE06-D43341E260FD}" name="PivotTable19" cacheId="1058" applyNumberFormats="0" applyBorderFormats="0" applyFontFormats="0" applyPatternFormats="0" applyAlignmentFormats="0" applyWidthHeightFormats="1" dataCaption="Values" tag="162da114-9e5e-4545-93c9-85c4f9a83bbd" updatedVersion="8" minRefreshableVersion="3" useAutoFormatting="1" subtotalHiddenItems="1" itemPrintTitles="1" createdVersion="8" indent="0" outline="1" outlineData="1" multipleFieldFilters="0" chartFormat="8" rowHeaderCaption="Product Type">
  <location ref="P7:Q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nsportation Cost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872407-5116-4987-8784-9829734E0CBD}" name="PivotTable10" cacheId="1055" applyNumberFormats="0" applyBorderFormats="0" applyFontFormats="0" applyPatternFormats="0" applyAlignmentFormats="0" applyWidthHeightFormats="1" dataCaption="Values" tag="aa032fb6-f466-4f24-b3ff-685322cd99f4" updatedVersion="8" minRefreshableVersion="3" useAutoFormatting="1" itemPrintTitles="1" createdVersion="8" indent="0" outline="1" outlineData="1" multipleFieldFilters="0" rowHeaderCaption="Route">
  <location ref="M7:N8" firstHeaderRow="0" firstDataRow="1" firstDataCol="0" rowPageCount="1" colPageCount="1"/>
  <pivotFields count="3">
    <pivotField dataField="1" subtotalTop="0" showAll="0" defaultSubtotal="0"/>
    <pivotField dataField="1" subtotalTop="0" showAll="0" defaultSubtotal="0"/>
    <pivotField axis="axisPage" allDrilled="1" subtotalTop="0" showAll="0" dataSourceSort="1" defaultSubtotal="0" defaultAttributeDrillState="1"/>
  </pivotFields>
  <rowItems count="1">
    <i/>
  </rowItems>
  <colFields count="1">
    <field x="-2"/>
  </colFields>
  <colItems count="2">
    <i>
      <x/>
    </i>
    <i i="1">
      <x v="1"/>
    </i>
  </colItems>
  <pageFields count="1">
    <pageField fld="2" hier="0" name="[Supply Chain Analysis].[Product type].[All]" cap="All"/>
  </pageFields>
  <dataFields count="2">
    <dataField name="Sum of Revenue Generated" fld="0" baseField="0" baseItem="0"/>
    <dataField name="Sum of Price" fld="1" baseField="0" baseItem="0"/>
  </dataField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nsportation Cost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195A5B-59DB-4122-A3B0-2F91E0A25EA9}" name="PivotTable9" cacheId="1088" applyNumberFormats="0" applyBorderFormats="0" applyFontFormats="0" applyPatternFormats="0" applyAlignmentFormats="0" applyWidthHeightFormats="1" dataCaption="Values" tag="44632342-cd12-4172-8aa0-18909011eb93" updatedVersion="8" minRefreshableVersion="3" useAutoFormatting="1" itemPrintTitles="1" createdVersion="8" indent="0" outline="1" outlineData="1" multipleFieldFilters="0" rowHeaderCaption="Route">
  <location ref="J15:K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ransportation Costs" fld="1" subtotal="count" baseField="0" baseItem="0" numFmtId="170"/>
  </dataField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nsportation Cost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ABCFB5-9EBA-42EC-BC2E-08B4EEA4FCBC}" name="PivotTable8" cacheId="1085" applyNumberFormats="0" applyBorderFormats="0" applyFontFormats="0" applyPatternFormats="0" applyAlignmentFormats="0" applyWidthHeightFormats="1" dataCaption="Values" tag="772d43f3-f852-4aab-93e6-8b6c8b046e29" updatedVersion="8" minRefreshableVersion="3" useAutoFormatting="1" itemPrintTitles="1" createdVersion="8" indent="0" outline="1" outlineData="1" multipleFieldFilters="0" chartFormat="9" rowHeaderCaption="Transportation Mode">
  <location ref="G15:I20"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Orders" fld="1" subtotal="count" baseField="0" baseItem="0"/>
    <dataField name="Average Suppliers Lead times" fld="2" subtotal="average" baseField="0" baseItem="0" numFmtId="1"/>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caption="Average Suppliers Lead tim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6C7C02-374C-4A78-AB51-7483A190B25C}" name="PivotTable7" cacheId="1082" applyNumberFormats="0" applyBorderFormats="0" applyFontFormats="0" applyPatternFormats="0" applyAlignmentFormats="0" applyWidthHeightFormats="1" dataCaption="Values" tag="a40f1a35-5758-4200-adbe-7c13df77006d" updatedVersion="8" minRefreshableVersion="3" useAutoFormatting="1" itemPrintTitles="1" createdVersion="8" indent="0" outline="1" outlineData="1" multipleFieldFilters="0" rowHeaderCaption="Shipping Carriers">
  <location ref="J7:K1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hipping time" fld="0" subtotal="count" baseField="1" baseItem="0" numFmtId="1"/>
  </dataField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ti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1A4EE5-2042-42E9-81D0-199ADBBB8FAD}" name="PivotTable6" cacheId="1079" applyNumberFormats="0" applyBorderFormats="0" applyFontFormats="0" applyPatternFormats="0" applyAlignmentFormats="0" applyWidthHeightFormats="1" dataCaption="Values" tag="66493a92-f50a-4d51-8fab-87fdd8838856" updatedVersion="8" minRefreshableVersion="3" useAutoFormatting="1" subtotalHiddenItems="1" itemPrintTitles="1" createdVersion="8" indent="0" outline="1" outlineData="1" multipleFieldFilters="0" rowHeaderCaption="Transportation Mode">
  <location ref="G7:H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efect Rate" fld="1" subtotal="count" baseField="0" baseItem="0" numFmtId="1"/>
  </dataField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ect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09FEB0-88F3-4AEB-A425-BA0B009F55FF}" name="PivotTable5" cacheId="1076" applyNumberFormats="0" applyBorderFormats="0" applyFontFormats="0" applyPatternFormats="0" applyAlignmentFormats="0" applyWidthHeightFormats="1" dataCaption="Values" tag="4b2a869c-08d7-4396-be05-33918a56c98b" updatedVersion="8" minRefreshableVersion="3" useAutoFormatting="1" itemPrintTitles="1" createdVersion="8" indent="0" outline="1" outlineData="1" multipleFieldFilters="0" rowHeaderCaption="Supplier">
  <location ref="D15:E2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ppliers Lead times" fld="1" subtotal="average" baseField="0" baseItem="0" numFmtId="1"/>
  </dataField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caption="Suppliers Lead times"/>
    <pivotHierarchy dragToData="1" caption="Suppliers Lead tim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FC0BCB-1650-4464-A482-B0F11479BD6D}" name="PivotTable4" cacheId="1073" applyNumberFormats="0" applyBorderFormats="0" applyFontFormats="0" applyPatternFormats="0" applyAlignmentFormats="0" applyWidthHeightFormats="1" dataCaption="Values" tag="d28e5ac5-8107-4a8f-98e3-52bb7bb57a0b" updatedVersion="8" minRefreshableVersion="3" useAutoFormatting="1" itemPrintTitles="1" createdVersion="8" indent="0" outline="1" outlineData="1" multipleFieldFilters="0" chartFormat="5" rowHeaderCaption="Transportation Mode">
  <location ref="A15:B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ransportation Costs" fld="1" baseField="0" baseItem="0" numFmtId="170"/>
  </dataFields>
  <chartFormats count="1">
    <chartFormat chart="4" format="3" series="1">
      <pivotArea type="data" outline="0" fieldPosition="0">
        <references count="1">
          <reference field="4294967294" count="1" selected="0">
            <x v="0"/>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nsportation Cost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173FFF-6925-44AD-B218-58E0C0B7FCDC}" name="PivotTable3" cacheId="1070" applyNumberFormats="0" applyBorderFormats="0" applyFontFormats="0" applyPatternFormats="0" applyAlignmentFormats="0" applyWidthHeightFormats="1" dataCaption="Values" tag="4e24c667-5795-4f04-80b1-42e722ca4938" updatedVersion="8" minRefreshableVersion="3" useAutoFormatting="1" itemPrintTitles="1" createdVersion="8" indent="0" outline="1" outlineData="1" multipleFieldFilters="0" chartFormat="5" rowHeaderCaption="Shipping Carriers">
  <location ref="D7:E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hipping costs"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E46D4B-B77C-4C6E-88A6-CBEB29365996}" name="PivotTable2" cacheId="1049" applyNumberFormats="0" applyBorderFormats="0" applyFontFormats="0" applyPatternFormats="0" applyAlignmentFormats="0" applyWidthHeightFormats="1" dataCaption="Values" tag="15c24ecf-553e-40be-9f91-36f3e379b86a" updatedVersion="8" minRefreshableVersion="3" useAutoFormatting="1" itemPrintTitles="1" createdVersion="8" indent="0" outline="1" outlineData="1" multipleFieldFilters="0" chartFormat="6" rowHeaderCaption="Shipping Carriers">
  <location ref="A7:B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Revenue Generate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Revenue Genera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94625C-5E8C-460B-AEB2-B932EC214AB2}" name="PivotTable1" cacheId="1052" applyNumberFormats="0" applyBorderFormats="0" applyFontFormats="0" applyPatternFormats="0" applyAlignmentFormats="0" applyWidthHeightFormats="1" dataCaption="Values" tag="1d8f6502-77d3-4c54-8175-d5ac0ab38e0a" updatedVersion="8" minRefreshableVersion="3" useAutoFormatting="1" itemPrintTitles="1" createdVersion="8" indent="0" outline="1" outlineData="1" multipleFieldFilters="0">
  <location ref="A3:K4"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dataField fld="1" subtotal="count" baseField="0" baseItem="1" numFmtId="170"/>
    <dataField fld="2" subtotal="count" baseField="0" baseItem="2" numFmtId="175"/>
    <dataField fld="3" subtotal="count" baseField="0" baseItem="3" numFmtId="172"/>
    <dataField fld="4" subtotal="count" baseField="0" baseItem="4" numFmtId="173"/>
    <dataField fld="5" subtotal="count" baseField="0" baseItem="5" numFmtId="170"/>
    <dataField fld="6" subtotal="count" baseField="0" baseItem="0"/>
    <dataField fld="7" subtotal="count" baseField="0" baseItem="7" numFmtId="1"/>
    <dataField fld="8" subtotal="count" baseField="0" baseItem="8" numFmtId="1"/>
    <dataField fld="9" subtotal="count" baseField="0" baseItem="9" numFmtId="170"/>
    <dataField fld="10" subtotal="count" baseField="0" baseItem="10" numFmtId="173"/>
  </dataFields>
  <pivotHierarchies count="68">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Analysis]"/>
        <x15:activeTabTopLevelEntity name="[Supply Chain Analysi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EE93F25-04B6-448D-AC7A-9AD4FFD2C3E3}" autoFormatId="16" applyNumberFormats="0" applyBorderFormats="0" applyFontFormats="0" applyPatternFormats="0" applyAlignmentFormats="0" applyWidthHeightFormats="0">
  <queryTableRefresh nextId="31">
    <queryTableFields count="24">
      <queryTableField id="1" name="Product type" tableColumnId="1"/>
      <queryTableField id="2" name="SKU" tableColumnId="2"/>
      <queryTableField id="4" name="Availability" tableColumnId="4"/>
      <queryTableField id="3" name="Price" tableColumnId="3"/>
      <queryTableField id="5" name="Number of products sold" tableColumnId="5"/>
      <queryTableField id="6" name="Revenue generated" tableColumnId="6"/>
      <queryTableField id="7" name="Customer demographics" tableColumnId="7"/>
      <queryTableField id="8" name="Stock levels" tableColumnId="8"/>
      <queryTableField id="27" name="Suppliers Lead times" tableColumnId="26"/>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28" name="Shipping Lead time" tableColumnId="27"/>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5" name="Transportation Costs" tableColumnId="25"/>
    </queryTableFields>
  </queryTableRefresh>
  <extLst>
    <ext xmlns:x15="http://schemas.microsoft.com/office/spreadsheetml/2010/11/main" uri="{883FBD77-0823-4a55-B5E3-86C4891E6966}">
      <x15:queryTable sourceDataName="Query - Supply Chain Analysi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 xr10:uid="{7A911CA7-473B-4461-9A56-042AE01174BC}" sourceName="[Supply Chain Analysis].[Customer demographics]">
  <pivotTables>
    <pivotTable tabId="3" name="PivotTable2"/>
    <pivotTable tabId="3" name="PivotTable1"/>
    <pivotTable tabId="3" name="PivotTable10"/>
    <pivotTable tabId="3" name="PivotTable19"/>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s>
  <data>
    <olap pivotCacheId="1327360642">
      <levels count="2">
        <level uniqueName="[Supply Chain Analysis].[Customer demographics].[(All)]" sourceCaption="(All)" count="0"/>
        <level uniqueName="[Supply Chain Analysis].[Customer demographics].[Customer demographics]" sourceCaption="Customer demographics" count="4">
          <ranges>
            <range startItem="0">
              <i n="[Supply Chain Analysis].[Customer demographics].&amp;[Female]" c="Female"/>
              <i n="[Supply Chain Analysis].[Customer demographics].&amp;[Male]" c="Male"/>
              <i n="[Supply Chain Analysis].[Customer demographics].&amp;[Non-binary]" c="Non-binary"/>
              <i n="[Supply Chain Analysis].[Customer demographics].&amp;[Unknown]" c="Unknown"/>
            </range>
          </ranges>
        </level>
      </levels>
      <selections count="1">
        <selection n="[Supply Chain Analysis].[Customer demographic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30897EC-0495-4A9C-8A7D-AD4C7C497D5E}" sourceName="[Supply Chain Analysis].[Location]">
  <pivotTables>
    <pivotTable tabId="3" name="PivotTable2"/>
    <pivotTable tabId="3" name="PivotTable1"/>
    <pivotTable tabId="3" name="PivotTable10"/>
    <pivotTable tabId="3" name="PivotTable19"/>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s>
  <data>
    <olap pivotCacheId="1327360642">
      <levels count="2">
        <level uniqueName="[Supply Chain Analysis].[Location].[(All)]" sourceCaption="(All)" count="0"/>
        <level uniqueName="[Supply Chain Analysis].[Location].[Location]" sourceCaption="Location" count="5">
          <ranges>
            <range startItem="0">
              <i n="[Supply Chain Analysis].[Location].&amp;[Bangalore]" c="Bangalore"/>
              <i n="[Supply Chain Analysis].[Location].&amp;[Chennai]" c="Chennai"/>
              <i n="[Supply Chain Analysis].[Location].&amp;[Delhi]" c="Delhi"/>
              <i n="[Supply Chain Analysis].[Location].&amp;[Kolkata]" c="Kolkata"/>
              <i n="[Supply Chain Analysis].[Location].&amp;[Mumbai]" c="Mumbai"/>
            </range>
          </ranges>
        </level>
      </levels>
      <selections count="1">
        <selection n="[Supply Chain Analysis].[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0A587E8F-C802-45FC-817B-F3CF2DD03BEA}" sourceName="[Supply Chain Analysis].[Product type]">
  <pivotTables>
    <pivotTable tabId="3" name="PivotTable2"/>
    <pivotTable tabId="3" name="PivotTable1"/>
    <pivotTable tabId="3" name="PivotTable10"/>
    <pivotTable tabId="3" name="PivotTable19"/>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s>
  <data>
    <olap pivotCacheId="1327360642">
      <levels count="2">
        <level uniqueName="[Supply Chain Analysis].[Product type].[(All)]" sourceCaption="(All)" count="0"/>
        <level uniqueName="[Supply Chain Analysis].[Product type].[Product type]" sourceCaption="Product type" count="3">
          <ranges>
            <range startItem="0">
              <i n="[Supply Chain Analysis].[Product type].&amp;[Cosmetics]" c="Cosmetics"/>
              <i n="[Supply Chain Analysis].[Product type].&amp;[Haircare]" c="Haircare"/>
              <i n="[Supply Chain Analysis].[Product type].&amp;[Skincare]" c="Skincare"/>
            </range>
          </ranges>
        </level>
      </levels>
      <selections count="1">
        <selection n="[Supply Chain Analysis].[Produc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demographics" xr10:uid="{A8F2E468-7E62-4CFD-B7AD-B162E2CB6FBA}" cache="Slicer_Customer_demographics" caption="CUSTOMER DEMOGRAPHICS" columnCount="4" level="1" style="Supply" rowHeight="365760"/>
  <slicer name="Location" xr10:uid="{8C6AB9A6-77BF-4A1E-B942-65165C652466}" cache="Slicer_Location" caption="Location" level="1" style="Supply" rowHeight="640080"/>
  <slicer name="Product type" xr10:uid="{4E33734D-1A95-4C3E-9874-0895CF695AA9}" cache="Slicer_Product_type" caption="PRODUCT TYPE" columnCount="3" level="1" style="Supply"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demographics 1" xr10:uid="{0F0CEBB6-CE86-4FAE-B88D-1B073300D9B6}" cache="Slicer_Customer_demographics" caption="CUSTOMER DEMOGRAPHICS" columnCount="4" level="1" style="Supply" rowHeight="548640"/>
  <slicer name="Location 1" xr10:uid="{AF03B304-877C-4270-A327-95F0120134EA}" cache="Slicer_Location" caption="Location" columnCount="5" level="1" style="Supply" rowHeight="640080"/>
  <slicer name="Product type 1" xr10:uid="{DD17290E-3BEE-4B39-8ADA-DFFA3FF9F7E4}" cache="Slicer_Product_type" caption="PRODUCT TYPE" columnCount="3" level="1" style="Supply"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013BED-7FE7-4648-B45A-4B9097946061}" name="Supply_Chain_Analysis" displayName="Supply_Chain_Analysis" ref="A1:X101" tableType="queryTable" totalsRowShown="0">
  <autoFilter ref="A1:X101" xr:uid="{F1013BED-7FE7-4648-B45A-4B9097946061}"/>
  <tableColumns count="24">
    <tableColumn id="1" xr3:uid="{80C41DB8-C7EC-4A69-AE07-CFE0BF2AEC37}" uniqueName="1" name="Product type" queryTableFieldId="1" dataDxfId="2" dataCellStyle="Currency"/>
    <tableColumn id="2" xr3:uid="{E0431CCD-1BC3-49DB-B603-A2D56A0449B1}" uniqueName="2" name="SKU" queryTableFieldId="2" dataDxfId="3"/>
    <tableColumn id="4" xr3:uid="{58314007-BDF3-4CD6-8537-FFBF0241E20E}" uniqueName="4" name="Availability" queryTableFieldId="4"/>
    <tableColumn id="3" xr3:uid="{9F736651-9D91-4DFE-8109-911D17300AE9}" uniqueName="3" name="Price" queryTableFieldId="3" dataDxfId="6" dataCellStyle="Currency"/>
    <tableColumn id="5" xr3:uid="{F15893C9-1036-447E-A69D-583B024DC44B}" uniqueName="5" name="Number of products sold" queryTableFieldId="5"/>
    <tableColumn id="6" xr3:uid="{423A5371-DFCB-4312-88C6-C0A2A49B2B1E}" uniqueName="6" name="Revenue Generated" queryTableFieldId="6" dataDxfId="4" dataCellStyle="Currency"/>
    <tableColumn id="7" xr3:uid="{7736A3D0-1965-409C-8586-7D99B0FE6FCC}" uniqueName="7" name="Customer demographics" queryTableFieldId="7" dataDxfId="5"/>
    <tableColumn id="8" xr3:uid="{1CD713C7-5EB7-4292-938D-6C7D4810A4C9}" uniqueName="8" name="Stock levels" queryTableFieldId="8"/>
    <tableColumn id="26" xr3:uid="{94E62FFC-F4CF-4B15-B69E-D525448A0BA7}" uniqueName="26" name="Suppliers Lead times" queryTableFieldId="27"/>
    <tableColumn id="10" xr3:uid="{AD75D761-9F3B-4045-9082-A6C068D2D5E0}" uniqueName="10" name="Order quantities" queryTableFieldId="10"/>
    <tableColumn id="11" xr3:uid="{2635BD42-A3BA-4895-9A37-CC8CD4534BBD}" uniqueName="11" name="Shipping times" queryTableFieldId="11"/>
    <tableColumn id="12" xr3:uid="{BEA96D75-4676-47DA-B177-08B8CAD112A4}" uniqueName="12" name="Shipping carriers" queryTableFieldId="12" dataDxfId="15"/>
    <tableColumn id="13" xr3:uid="{59A81190-9A35-48F9-A54E-C4D0F97DC0BA}" uniqueName="13" name="Shipping costs" queryTableFieldId="13" dataDxfId="14" dataCellStyle="Currency"/>
    <tableColumn id="14" xr3:uid="{EA76A281-73CC-4706-B71C-51F7913A4DCC}" uniqueName="14" name="Supplier name" queryTableFieldId="14" dataDxfId="13"/>
    <tableColumn id="15" xr3:uid="{103AB10B-4E50-4AA8-B8D7-15554E3129FB}" uniqueName="15" name="Location" queryTableFieldId="15" dataDxfId="12"/>
    <tableColumn id="27" xr3:uid="{658FA2B8-C736-45FA-8F1A-FDB265A719FE}" uniqueName="27" name="Shipping Lead time" queryTableFieldId="28"/>
    <tableColumn id="17" xr3:uid="{DEE99577-4577-4D92-A44F-18446BE6E4B7}" uniqueName="17" name="Production volumes" queryTableFieldId="17"/>
    <tableColumn id="18" xr3:uid="{35E3EC92-624A-44B1-AC21-FB4FECFC5200}" uniqueName="18" name="Manufacturing lead time" queryTableFieldId="18"/>
    <tableColumn id="19" xr3:uid="{EE00507F-AEA5-40D5-AFEE-D60B688186A8}" uniqueName="19" name="Manufacturing costs" queryTableFieldId="19" dataDxfId="11" dataCellStyle="Currency"/>
    <tableColumn id="20" xr3:uid="{D18B6783-CEAC-4060-B158-CE9291F428A0}" uniqueName="20" name="Inspection results" queryTableFieldId="20" dataDxfId="10"/>
    <tableColumn id="21" xr3:uid="{C0489A62-AF2F-48E4-B2D8-3EA7FC9A1082}" uniqueName="21" name="Defect rates" queryTableFieldId="21"/>
    <tableColumn id="22" xr3:uid="{89135A32-6F0E-4773-A786-5AB8793D9564}" uniqueName="22" name="Transportation modes" queryTableFieldId="22" dataDxfId="9"/>
    <tableColumn id="23" xr3:uid="{E54F2C2A-BB0E-4696-A877-285A5042B0B3}" uniqueName="23" name="Routes" queryTableFieldId="23" dataDxfId="8"/>
    <tableColumn id="25" xr3:uid="{E42530DF-C601-4C46-8424-C0DD0F8D824A}" uniqueName="25" name="Transportation Costs" queryTableFieldId="25" dataDxfId="7" dataCellStyle="Curr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D87DB-90D2-4DC2-9BE7-C64737120C60}">
  <dimension ref="A1:Z101"/>
  <sheetViews>
    <sheetView topLeftCell="A2" workbookViewId="0">
      <selection activeCell="A2" activeCellId="2" sqref="D2:D101 F2:F101 A2:A101"/>
    </sheetView>
  </sheetViews>
  <sheetFormatPr defaultRowHeight="14.4" x14ac:dyDescent="0.3"/>
  <cols>
    <col min="1" max="1" width="13.21875" customWidth="1"/>
    <col min="2" max="2" width="6.44140625" customWidth="1"/>
    <col min="3" max="3" width="11.6640625" customWidth="1"/>
    <col min="4" max="4" width="8.5546875" style="2" customWidth="1"/>
    <col min="5" max="5" width="23" customWidth="1"/>
    <col min="6" max="6" width="20.33203125" style="2" customWidth="1"/>
    <col min="7" max="7" width="23.109375" customWidth="1"/>
    <col min="8" max="8" width="12.5546875" customWidth="1"/>
    <col min="9" max="9" width="19.88671875" customWidth="1"/>
    <col min="10" max="10" width="16.21875" customWidth="1"/>
    <col min="11" max="11" width="14.77734375" customWidth="1"/>
    <col min="12" max="12" width="16.77734375" customWidth="1"/>
    <col min="13" max="13" width="15.88671875" style="2" customWidth="1"/>
    <col min="14" max="14" width="14.6640625" customWidth="1"/>
    <col min="15" max="15" width="10.109375" customWidth="1"/>
    <col min="16" max="16" width="18.21875" customWidth="1"/>
    <col min="17" max="17" width="19.109375" customWidth="1"/>
    <col min="18" max="18" width="22.6640625" customWidth="1"/>
    <col min="19" max="19" width="20.77734375" style="2" customWidth="1"/>
    <col min="20" max="20" width="17.44140625" customWidth="1"/>
    <col min="21" max="21" width="13" customWidth="1"/>
    <col min="22" max="22" width="20.88671875" customWidth="1"/>
    <col min="23" max="23" width="8.77734375" customWidth="1"/>
    <col min="24" max="24" width="21.109375" customWidth="1"/>
    <col min="25" max="25" width="8.77734375" customWidth="1"/>
    <col min="26" max="26" width="21.109375" style="2" customWidth="1"/>
    <col min="27" max="27" width="12" customWidth="1"/>
  </cols>
  <sheetData>
    <row r="1" spans="1:26" x14ac:dyDescent="0.3">
      <c r="A1" t="s">
        <v>0</v>
      </c>
      <c r="B1" t="s">
        <v>1</v>
      </c>
      <c r="C1" t="s">
        <v>3</v>
      </c>
      <c r="D1" s="2" t="s">
        <v>2</v>
      </c>
      <c r="E1" t="s">
        <v>4</v>
      </c>
      <c r="F1" s="2" t="s">
        <v>147</v>
      </c>
      <c r="G1" t="s">
        <v>5</v>
      </c>
      <c r="H1" t="s">
        <v>6</v>
      </c>
      <c r="I1" t="s">
        <v>158</v>
      </c>
      <c r="J1" t="s">
        <v>7</v>
      </c>
      <c r="K1" t="s">
        <v>8</v>
      </c>
      <c r="L1" t="s">
        <v>9</v>
      </c>
      <c r="M1" s="2" t="s">
        <v>10</v>
      </c>
      <c r="N1" t="s">
        <v>11</v>
      </c>
      <c r="O1" t="s">
        <v>12</v>
      </c>
      <c r="P1" t="s">
        <v>159</v>
      </c>
      <c r="Q1" t="s">
        <v>13</v>
      </c>
      <c r="R1" t="s">
        <v>14</v>
      </c>
      <c r="S1" s="2" t="s">
        <v>15</v>
      </c>
      <c r="T1" t="s">
        <v>16</v>
      </c>
      <c r="U1" t="s">
        <v>17</v>
      </c>
      <c r="V1" t="s">
        <v>18</v>
      </c>
      <c r="W1" t="s">
        <v>19</v>
      </c>
      <c r="X1" s="2" t="s">
        <v>148</v>
      </c>
      <c r="Z1"/>
    </row>
    <row r="2" spans="1:26" x14ac:dyDescent="0.3">
      <c r="A2" s="16" t="s">
        <v>149</v>
      </c>
      <c r="B2" s="1" t="s">
        <v>20</v>
      </c>
      <c r="C2">
        <v>55</v>
      </c>
      <c r="D2" s="16">
        <v>69.808000000000007</v>
      </c>
      <c r="E2">
        <v>802</v>
      </c>
      <c r="F2" s="16">
        <v>55986.016000000003</v>
      </c>
      <c r="G2" s="1" t="s">
        <v>21</v>
      </c>
      <c r="H2">
        <v>58</v>
      </c>
      <c r="I2">
        <v>7</v>
      </c>
      <c r="J2">
        <v>96</v>
      </c>
      <c r="K2">
        <v>4</v>
      </c>
      <c r="L2" s="1" t="s">
        <v>22</v>
      </c>
      <c r="M2" s="2">
        <v>2.9565999999999999</v>
      </c>
      <c r="N2" s="1" t="s">
        <v>23</v>
      </c>
      <c r="O2" s="1" t="s">
        <v>24</v>
      </c>
      <c r="P2">
        <v>29</v>
      </c>
      <c r="Q2">
        <v>215</v>
      </c>
      <c r="R2">
        <v>29</v>
      </c>
      <c r="S2" s="2">
        <v>46.279899999999998</v>
      </c>
      <c r="T2" s="1" t="s">
        <v>25</v>
      </c>
      <c r="U2">
        <v>0.22641036084992516</v>
      </c>
      <c r="V2" s="1" t="s">
        <v>26</v>
      </c>
      <c r="W2" s="1" t="s">
        <v>27</v>
      </c>
      <c r="X2" s="2">
        <v>187.75207545920392</v>
      </c>
      <c r="Z2"/>
    </row>
    <row r="3" spans="1:26" x14ac:dyDescent="0.3">
      <c r="A3" s="16" t="s">
        <v>150</v>
      </c>
      <c r="B3" s="1" t="s">
        <v>28</v>
      </c>
      <c r="C3">
        <v>95</v>
      </c>
      <c r="D3" s="16">
        <v>14.843500000000001</v>
      </c>
      <c r="E3">
        <v>736</v>
      </c>
      <c r="F3" s="16">
        <v>10924.816000000001</v>
      </c>
      <c r="G3" s="1" t="s">
        <v>29</v>
      </c>
      <c r="H3">
        <v>53</v>
      </c>
      <c r="I3">
        <v>30</v>
      </c>
      <c r="J3">
        <v>37</v>
      </c>
      <c r="K3">
        <v>2</v>
      </c>
      <c r="L3" s="1" t="s">
        <v>30</v>
      </c>
      <c r="M3" s="2">
        <v>9.7165999999999997</v>
      </c>
      <c r="N3" s="1" t="s">
        <v>23</v>
      </c>
      <c r="O3" s="1" t="s">
        <v>24</v>
      </c>
      <c r="P3">
        <v>23</v>
      </c>
      <c r="Q3">
        <v>517</v>
      </c>
      <c r="R3">
        <v>30</v>
      </c>
      <c r="S3" s="2">
        <v>33.616799999999998</v>
      </c>
      <c r="T3" s="1" t="s">
        <v>25</v>
      </c>
      <c r="U3">
        <v>4.8540680263887062</v>
      </c>
      <c r="V3" s="1" t="s">
        <v>26</v>
      </c>
      <c r="W3" s="1" t="s">
        <v>27</v>
      </c>
      <c r="X3" s="2">
        <v>503.06557914966919</v>
      </c>
      <c r="Z3"/>
    </row>
    <row r="4" spans="1:26" x14ac:dyDescent="0.3">
      <c r="A4" s="16" t="s">
        <v>149</v>
      </c>
      <c r="B4" s="1" t="s">
        <v>31</v>
      </c>
      <c r="C4">
        <v>34</v>
      </c>
      <c r="D4" s="16">
        <v>11.319699999999999</v>
      </c>
      <c r="E4">
        <v>8</v>
      </c>
      <c r="F4" s="16">
        <v>90.557599999999994</v>
      </c>
      <c r="G4" s="1" t="s">
        <v>32</v>
      </c>
      <c r="H4">
        <v>1</v>
      </c>
      <c r="I4">
        <v>10</v>
      </c>
      <c r="J4">
        <v>88</v>
      </c>
      <c r="K4">
        <v>2</v>
      </c>
      <c r="L4" s="1" t="s">
        <v>22</v>
      </c>
      <c r="M4" s="2">
        <v>8.0545000000000009</v>
      </c>
      <c r="N4" s="1" t="s">
        <v>33</v>
      </c>
      <c r="O4" s="1" t="s">
        <v>24</v>
      </c>
      <c r="P4">
        <v>12</v>
      </c>
      <c r="Q4">
        <v>971</v>
      </c>
      <c r="R4">
        <v>27</v>
      </c>
      <c r="S4" s="2">
        <v>30.687999999999999</v>
      </c>
      <c r="T4" s="1" t="s">
        <v>25</v>
      </c>
      <c r="U4">
        <v>4.580592619199229</v>
      </c>
      <c r="V4" s="1" t="s">
        <v>34</v>
      </c>
      <c r="W4" s="1" t="s">
        <v>35</v>
      </c>
      <c r="X4" s="2">
        <v>141.92028177151906</v>
      </c>
      <c r="Z4"/>
    </row>
    <row r="5" spans="1:26" x14ac:dyDescent="0.3">
      <c r="A5" s="16" t="s">
        <v>150</v>
      </c>
      <c r="B5" s="1" t="s">
        <v>36</v>
      </c>
      <c r="C5">
        <v>68</v>
      </c>
      <c r="D5" s="16">
        <v>61.1633</v>
      </c>
      <c r="E5">
        <v>83</v>
      </c>
      <c r="F5" s="16">
        <v>5076.5538999999999</v>
      </c>
      <c r="G5" s="1" t="s">
        <v>21</v>
      </c>
      <c r="H5">
        <v>23</v>
      </c>
      <c r="I5">
        <v>13</v>
      </c>
      <c r="J5">
        <v>59</v>
      </c>
      <c r="K5">
        <v>6</v>
      </c>
      <c r="L5" s="1" t="s">
        <v>37</v>
      </c>
      <c r="M5" s="2">
        <v>1.7296</v>
      </c>
      <c r="N5" s="1" t="s">
        <v>38</v>
      </c>
      <c r="O5" s="1" t="s">
        <v>39</v>
      </c>
      <c r="P5">
        <v>24</v>
      </c>
      <c r="Q5">
        <v>937</v>
      </c>
      <c r="R5">
        <v>18</v>
      </c>
      <c r="S5" s="2">
        <v>35.624699999999997</v>
      </c>
      <c r="T5" s="1" t="s">
        <v>40</v>
      </c>
      <c r="U5">
        <v>4.7466486206477496</v>
      </c>
      <c r="V5" s="1" t="s">
        <v>41</v>
      </c>
      <c r="W5" s="1" t="s">
        <v>42</v>
      </c>
      <c r="X5" s="2">
        <v>254.77615921928663</v>
      </c>
      <c r="Z5"/>
    </row>
    <row r="6" spans="1:26" x14ac:dyDescent="0.3">
      <c r="A6" s="16" t="s">
        <v>150</v>
      </c>
      <c r="B6" s="1" t="s">
        <v>43</v>
      </c>
      <c r="C6">
        <v>26</v>
      </c>
      <c r="D6" s="16">
        <v>4.8055000000000003</v>
      </c>
      <c r="E6">
        <v>871</v>
      </c>
      <c r="F6" s="16">
        <v>4185.5905000000002</v>
      </c>
      <c r="G6" s="1" t="s">
        <v>21</v>
      </c>
      <c r="H6">
        <v>5</v>
      </c>
      <c r="I6">
        <v>3</v>
      </c>
      <c r="J6">
        <v>56</v>
      </c>
      <c r="K6">
        <v>8</v>
      </c>
      <c r="L6" s="1" t="s">
        <v>30</v>
      </c>
      <c r="M6" s="2">
        <v>3.8904999999999998</v>
      </c>
      <c r="N6" s="1" t="s">
        <v>33</v>
      </c>
      <c r="O6" s="1" t="s">
        <v>44</v>
      </c>
      <c r="P6">
        <v>5</v>
      </c>
      <c r="Q6">
        <v>414</v>
      </c>
      <c r="R6">
        <v>3</v>
      </c>
      <c r="S6" s="2">
        <v>92.065200000000004</v>
      </c>
      <c r="T6" s="1" t="s">
        <v>40</v>
      </c>
      <c r="U6">
        <v>3.1455795228330019</v>
      </c>
      <c r="V6" s="1" t="s">
        <v>34</v>
      </c>
      <c r="W6" s="1" t="s">
        <v>42</v>
      </c>
      <c r="X6" s="2">
        <v>923.44063171192215</v>
      </c>
      <c r="Z6"/>
    </row>
    <row r="7" spans="1:26" x14ac:dyDescent="0.3">
      <c r="A7" s="16" t="s">
        <v>149</v>
      </c>
      <c r="B7" s="1" t="s">
        <v>45</v>
      </c>
      <c r="C7">
        <v>87</v>
      </c>
      <c r="D7" s="16">
        <v>1.7</v>
      </c>
      <c r="E7">
        <v>147</v>
      </c>
      <c r="F7" s="16">
        <v>249.9</v>
      </c>
      <c r="G7" s="1" t="s">
        <v>21</v>
      </c>
      <c r="H7">
        <v>90</v>
      </c>
      <c r="I7">
        <v>27</v>
      </c>
      <c r="J7">
        <v>66</v>
      </c>
      <c r="K7">
        <v>3</v>
      </c>
      <c r="L7" s="1" t="s">
        <v>22</v>
      </c>
      <c r="M7" s="2">
        <v>4.4440999999999997</v>
      </c>
      <c r="N7" s="1" t="s">
        <v>46</v>
      </c>
      <c r="O7" s="1" t="s">
        <v>47</v>
      </c>
      <c r="P7">
        <v>10</v>
      </c>
      <c r="Q7">
        <v>104</v>
      </c>
      <c r="R7">
        <v>17</v>
      </c>
      <c r="S7" s="2">
        <v>56.766500000000001</v>
      </c>
      <c r="T7" s="1" t="s">
        <v>40</v>
      </c>
      <c r="U7">
        <v>2.7791935115711617</v>
      </c>
      <c r="V7" s="1" t="s">
        <v>26</v>
      </c>
      <c r="W7" s="1" t="s">
        <v>42</v>
      </c>
      <c r="X7" s="2">
        <v>235.46123673553751</v>
      </c>
      <c r="Z7"/>
    </row>
    <row r="8" spans="1:26" x14ac:dyDescent="0.3">
      <c r="A8" s="16" t="s">
        <v>150</v>
      </c>
      <c r="B8" s="1" t="s">
        <v>48</v>
      </c>
      <c r="C8">
        <v>48</v>
      </c>
      <c r="D8" s="16">
        <v>4.0782999999999996</v>
      </c>
      <c r="E8">
        <v>65</v>
      </c>
      <c r="F8" s="16">
        <v>265.08949999999999</v>
      </c>
      <c r="G8" s="1" t="s">
        <v>49</v>
      </c>
      <c r="H8">
        <v>11</v>
      </c>
      <c r="I8">
        <v>15</v>
      </c>
      <c r="J8">
        <v>58</v>
      </c>
      <c r="K8">
        <v>8</v>
      </c>
      <c r="L8" s="1" t="s">
        <v>37</v>
      </c>
      <c r="M8" s="2">
        <v>3.8807999999999998</v>
      </c>
      <c r="N8" s="1" t="s">
        <v>23</v>
      </c>
      <c r="O8" s="1" t="s">
        <v>39</v>
      </c>
      <c r="P8">
        <v>14</v>
      </c>
      <c r="Q8">
        <v>314</v>
      </c>
      <c r="R8">
        <v>24</v>
      </c>
      <c r="S8" s="2">
        <v>1.0851</v>
      </c>
      <c r="T8" s="1" t="s">
        <v>25</v>
      </c>
      <c r="U8">
        <v>1.0009106193041357</v>
      </c>
      <c r="V8" s="1" t="s">
        <v>50</v>
      </c>
      <c r="W8" s="1" t="s">
        <v>42</v>
      </c>
      <c r="X8" s="2">
        <v>134.36909686103172</v>
      </c>
      <c r="Z8"/>
    </row>
    <row r="9" spans="1:26" x14ac:dyDescent="0.3">
      <c r="A9" s="16" t="s">
        <v>151</v>
      </c>
      <c r="B9" s="1" t="s">
        <v>51</v>
      </c>
      <c r="C9">
        <v>59</v>
      </c>
      <c r="D9" s="16">
        <v>42.958399999999997</v>
      </c>
      <c r="E9">
        <v>426</v>
      </c>
      <c r="F9" s="16">
        <v>18300.278399999999</v>
      </c>
      <c r="G9" s="1" t="s">
        <v>29</v>
      </c>
      <c r="H9">
        <v>93</v>
      </c>
      <c r="I9">
        <v>17</v>
      </c>
      <c r="J9">
        <v>11</v>
      </c>
      <c r="K9">
        <v>1</v>
      </c>
      <c r="L9" s="1" t="s">
        <v>22</v>
      </c>
      <c r="M9" s="2">
        <v>2.3483000000000001</v>
      </c>
      <c r="N9" s="1" t="s">
        <v>46</v>
      </c>
      <c r="O9" s="1" t="s">
        <v>47</v>
      </c>
      <c r="P9">
        <v>22</v>
      </c>
      <c r="Q9">
        <v>564</v>
      </c>
      <c r="R9">
        <v>1</v>
      </c>
      <c r="S9" s="2">
        <v>99.466099999999997</v>
      </c>
      <c r="T9" s="1" t="s">
        <v>40</v>
      </c>
      <c r="U9">
        <v>0.39817718685065062</v>
      </c>
      <c r="V9" s="1" t="s">
        <v>26</v>
      </c>
      <c r="W9" s="1" t="s">
        <v>35</v>
      </c>
      <c r="X9" s="2">
        <v>802.05631181755859</v>
      </c>
      <c r="Z9"/>
    </row>
    <row r="10" spans="1:26" x14ac:dyDescent="0.3">
      <c r="A10" s="16" t="s">
        <v>151</v>
      </c>
      <c r="B10" s="1" t="s">
        <v>52</v>
      </c>
      <c r="C10">
        <v>78</v>
      </c>
      <c r="D10" s="16">
        <v>68.717600000000004</v>
      </c>
      <c r="E10">
        <v>150</v>
      </c>
      <c r="F10" s="16">
        <v>10307.64</v>
      </c>
      <c r="G10" s="1" t="s">
        <v>29</v>
      </c>
      <c r="H10">
        <v>5</v>
      </c>
      <c r="I10">
        <v>10</v>
      </c>
      <c r="J10">
        <v>15</v>
      </c>
      <c r="K10">
        <v>7</v>
      </c>
      <c r="L10" s="1" t="s">
        <v>37</v>
      </c>
      <c r="M10" s="2">
        <v>3.4047000000000001</v>
      </c>
      <c r="N10" s="1" t="s">
        <v>46</v>
      </c>
      <c r="O10" s="1" t="s">
        <v>24</v>
      </c>
      <c r="P10">
        <v>13</v>
      </c>
      <c r="Q10">
        <v>769</v>
      </c>
      <c r="R10">
        <v>8</v>
      </c>
      <c r="S10" s="2">
        <v>11.423</v>
      </c>
      <c r="T10" s="1" t="s">
        <v>25</v>
      </c>
      <c r="U10">
        <v>2.7098626911099615</v>
      </c>
      <c r="V10" s="1" t="s">
        <v>50</v>
      </c>
      <c r="W10" s="1" t="s">
        <v>27</v>
      </c>
      <c r="X10" s="2">
        <v>505.55713422546415</v>
      </c>
      <c r="Z10"/>
    </row>
    <row r="11" spans="1:26" x14ac:dyDescent="0.3">
      <c r="A11" s="16" t="s">
        <v>150</v>
      </c>
      <c r="B11" s="1" t="s">
        <v>53</v>
      </c>
      <c r="C11">
        <v>35</v>
      </c>
      <c r="D11" s="16">
        <v>64.015699999999995</v>
      </c>
      <c r="E11">
        <v>980</v>
      </c>
      <c r="F11" s="16">
        <v>62735.385999999999</v>
      </c>
      <c r="G11" s="1" t="s">
        <v>32</v>
      </c>
      <c r="H11">
        <v>14</v>
      </c>
      <c r="I11">
        <v>27</v>
      </c>
      <c r="J11">
        <v>83</v>
      </c>
      <c r="K11">
        <v>1</v>
      </c>
      <c r="L11" s="1" t="s">
        <v>30</v>
      </c>
      <c r="M11" s="2">
        <v>7.1665999999999999</v>
      </c>
      <c r="N11" s="1" t="s">
        <v>54</v>
      </c>
      <c r="O11" s="1" t="s">
        <v>55</v>
      </c>
      <c r="P11">
        <v>29</v>
      </c>
      <c r="Q11">
        <v>963</v>
      </c>
      <c r="R11">
        <v>23</v>
      </c>
      <c r="S11" s="2">
        <v>47.957599999999999</v>
      </c>
      <c r="T11" s="1" t="s">
        <v>25</v>
      </c>
      <c r="U11">
        <v>3.8446144787675851</v>
      </c>
      <c r="V11" s="1" t="s">
        <v>41</v>
      </c>
      <c r="W11" s="1" t="s">
        <v>27</v>
      </c>
      <c r="X11" s="2">
        <v>995.92946149864167</v>
      </c>
      <c r="Z11"/>
    </row>
    <row r="12" spans="1:26" x14ac:dyDescent="0.3">
      <c r="A12" s="16" t="s">
        <v>150</v>
      </c>
      <c r="B12" s="1" t="s">
        <v>56</v>
      </c>
      <c r="C12">
        <v>11</v>
      </c>
      <c r="D12" s="16">
        <v>15.707800000000001</v>
      </c>
      <c r="E12">
        <v>996</v>
      </c>
      <c r="F12" s="16">
        <v>15644.968800000001</v>
      </c>
      <c r="G12" s="1" t="s">
        <v>21</v>
      </c>
      <c r="H12">
        <v>51</v>
      </c>
      <c r="I12">
        <v>13</v>
      </c>
      <c r="J12">
        <v>80</v>
      </c>
      <c r="K12">
        <v>2</v>
      </c>
      <c r="L12" s="1" t="s">
        <v>37</v>
      </c>
      <c r="M12" s="2">
        <v>8.6731999999999996</v>
      </c>
      <c r="N12" s="1" t="s">
        <v>38</v>
      </c>
      <c r="O12" s="1" t="s">
        <v>39</v>
      </c>
      <c r="P12">
        <v>18</v>
      </c>
      <c r="Q12">
        <v>830</v>
      </c>
      <c r="R12">
        <v>5</v>
      </c>
      <c r="S12" s="2">
        <v>96.5274</v>
      </c>
      <c r="T12" s="1" t="s">
        <v>57</v>
      </c>
      <c r="U12">
        <v>1.7273139283559424</v>
      </c>
      <c r="V12" s="1" t="s">
        <v>26</v>
      </c>
      <c r="W12" s="1" t="s">
        <v>27</v>
      </c>
      <c r="X12" s="2">
        <v>806.10317770292295</v>
      </c>
      <c r="Z12"/>
    </row>
    <row r="13" spans="1:26" x14ac:dyDescent="0.3">
      <c r="A13" s="16" t="s">
        <v>150</v>
      </c>
      <c r="B13" s="1" t="s">
        <v>58</v>
      </c>
      <c r="C13">
        <v>95</v>
      </c>
      <c r="D13" s="16">
        <v>90.635499999999993</v>
      </c>
      <c r="E13">
        <v>960</v>
      </c>
      <c r="F13" s="16">
        <v>87010.08</v>
      </c>
      <c r="G13" s="1" t="s">
        <v>29</v>
      </c>
      <c r="H13">
        <v>46</v>
      </c>
      <c r="I13">
        <v>23</v>
      </c>
      <c r="J13">
        <v>60</v>
      </c>
      <c r="K13">
        <v>1</v>
      </c>
      <c r="L13" s="1" t="s">
        <v>30</v>
      </c>
      <c r="M13" s="2">
        <v>4.5239000000000003</v>
      </c>
      <c r="N13" s="1" t="s">
        <v>54</v>
      </c>
      <c r="O13" s="1" t="s">
        <v>39</v>
      </c>
      <c r="P13">
        <v>28</v>
      </c>
      <c r="Q13">
        <v>362</v>
      </c>
      <c r="R13">
        <v>11</v>
      </c>
      <c r="S13" s="2">
        <v>27.592400000000001</v>
      </c>
      <c r="T13" s="1" t="s">
        <v>25</v>
      </c>
      <c r="U13">
        <v>2.1169821372994391E-2</v>
      </c>
      <c r="V13" s="1" t="s">
        <v>34</v>
      </c>
      <c r="W13" s="1" t="s">
        <v>42</v>
      </c>
      <c r="X13" s="2">
        <v>126.72303340940725</v>
      </c>
      <c r="Z13"/>
    </row>
    <row r="14" spans="1:26" x14ac:dyDescent="0.3">
      <c r="A14" s="16" t="s">
        <v>149</v>
      </c>
      <c r="B14" s="1" t="s">
        <v>59</v>
      </c>
      <c r="C14">
        <v>41</v>
      </c>
      <c r="D14" s="16">
        <v>71.213399999999993</v>
      </c>
      <c r="E14">
        <v>336</v>
      </c>
      <c r="F14" s="16">
        <v>23927.702399999998</v>
      </c>
      <c r="G14" s="1" t="s">
        <v>32</v>
      </c>
      <c r="H14">
        <v>100</v>
      </c>
      <c r="I14">
        <v>30</v>
      </c>
      <c r="J14">
        <v>85</v>
      </c>
      <c r="K14">
        <v>4</v>
      </c>
      <c r="L14" s="1" t="s">
        <v>30</v>
      </c>
      <c r="M14" s="2">
        <v>1.3252999999999999</v>
      </c>
      <c r="N14" s="1" t="s">
        <v>46</v>
      </c>
      <c r="O14" s="1" t="s">
        <v>39</v>
      </c>
      <c r="P14">
        <v>3</v>
      </c>
      <c r="Q14">
        <v>563</v>
      </c>
      <c r="R14">
        <v>3</v>
      </c>
      <c r="S14" s="2">
        <v>32.321300000000001</v>
      </c>
      <c r="T14" s="1" t="s">
        <v>40</v>
      </c>
      <c r="U14">
        <v>2.1612537475559117</v>
      </c>
      <c r="V14" s="1" t="s">
        <v>26</v>
      </c>
      <c r="W14" s="1" t="s">
        <v>27</v>
      </c>
      <c r="X14" s="2">
        <v>402.96878907377061</v>
      </c>
      <c r="Z14"/>
    </row>
    <row r="15" spans="1:26" x14ac:dyDescent="0.3">
      <c r="A15" s="16" t="s">
        <v>150</v>
      </c>
      <c r="B15" s="1" t="s">
        <v>60</v>
      </c>
      <c r="C15">
        <v>5</v>
      </c>
      <c r="D15" s="16">
        <v>16.160399999999999</v>
      </c>
      <c r="E15">
        <v>249</v>
      </c>
      <c r="F15" s="16">
        <v>4023.9396000000002</v>
      </c>
      <c r="G15" s="1" t="s">
        <v>49</v>
      </c>
      <c r="H15">
        <v>80</v>
      </c>
      <c r="I15">
        <v>8</v>
      </c>
      <c r="J15">
        <v>48</v>
      </c>
      <c r="K15">
        <v>9</v>
      </c>
      <c r="L15" s="1" t="s">
        <v>30</v>
      </c>
      <c r="M15" s="2">
        <v>9.5373000000000001</v>
      </c>
      <c r="N15" s="1" t="s">
        <v>38</v>
      </c>
      <c r="O15" s="1" t="s">
        <v>47</v>
      </c>
      <c r="P15">
        <v>23</v>
      </c>
      <c r="Q15">
        <v>173</v>
      </c>
      <c r="R15">
        <v>10</v>
      </c>
      <c r="S15" s="2">
        <v>97.829099999999997</v>
      </c>
      <c r="T15" s="1" t="s">
        <v>25</v>
      </c>
      <c r="U15">
        <v>1.6310742300715386</v>
      </c>
      <c r="V15" s="1" t="s">
        <v>26</v>
      </c>
      <c r="W15" s="1" t="s">
        <v>27</v>
      </c>
      <c r="X15" s="2">
        <v>547.24100516096848</v>
      </c>
      <c r="Z15"/>
    </row>
    <row r="16" spans="1:26" x14ac:dyDescent="0.3">
      <c r="A16" s="16" t="s">
        <v>150</v>
      </c>
      <c r="B16" s="1" t="s">
        <v>61</v>
      </c>
      <c r="C16">
        <v>26</v>
      </c>
      <c r="D16" s="16">
        <v>99.171300000000002</v>
      </c>
      <c r="E16">
        <v>562</v>
      </c>
      <c r="F16" s="16">
        <v>55734.270600000003</v>
      </c>
      <c r="G16" s="1" t="s">
        <v>21</v>
      </c>
      <c r="H16">
        <v>54</v>
      </c>
      <c r="I16">
        <v>29</v>
      </c>
      <c r="J16">
        <v>78</v>
      </c>
      <c r="K16">
        <v>5</v>
      </c>
      <c r="L16" s="1" t="s">
        <v>22</v>
      </c>
      <c r="M16" s="2">
        <v>2.0398000000000001</v>
      </c>
      <c r="N16" s="1" t="s">
        <v>33</v>
      </c>
      <c r="O16" s="1" t="s">
        <v>39</v>
      </c>
      <c r="P16">
        <v>25</v>
      </c>
      <c r="Q16">
        <v>558</v>
      </c>
      <c r="R16">
        <v>14</v>
      </c>
      <c r="S16" s="2">
        <v>5.7914000000000003</v>
      </c>
      <c r="T16" s="1" t="s">
        <v>25</v>
      </c>
      <c r="U16">
        <v>0.10068285156509371</v>
      </c>
      <c r="V16" s="1" t="s">
        <v>34</v>
      </c>
      <c r="W16" s="1" t="s">
        <v>27</v>
      </c>
      <c r="X16" s="2">
        <v>929.23528996088965</v>
      </c>
      <c r="Z16"/>
    </row>
    <row r="17" spans="1:26" x14ac:dyDescent="0.3">
      <c r="A17" s="16" t="s">
        <v>150</v>
      </c>
      <c r="B17" s="1" t="s">
        <v>62</v>
      </c>
      <c r="C17">
        <v>94</v>
      </c>
      <c r="D17" s="16">
        <v>36.989199999999997</v>
      </c>
      <c r="E17">
        <v>469</v>
      </c>
      <c r="F17" s="16">
        <v>17347.934799999999</v>
      </c>
      <c r="G17" s="1" t="s">
        <v>21</v>
      </c>
      <c r="H17">
        <v>9</v>
      </c>
      <c r="I17">
        <v>8</v>
      </c>
      <c r="J17">
        <v>69</v>
      </c>
      <c r="K17">
        <v>7</v>
      </c>
      <c r="L17" s="1" t="s">
        <v>22</v>
      </c>
      <c r="M17" s="2">
        <v>2.4220000000000002</v>
      </c>
      <c r="N17" s="1" t="s">
        <v>33</v>
      </c>
      <c r="O17" s="1" t="s">
        <v>47</v>
      </c>
      <c r="P17">
        <v>14</v>
      </c>
      <c r="Q17">
        <v>580</v>
      </c>
      <c r="R17">
        <v>7</v>
      </c>
      <c r="S17" s="2">
        <v>97.121300000000005</v>
      </c>
      <c r="T17" s="1" t="s">
        <v>57</v>
      </c>
      <c r="U17">
        <v>2.2644057611985491</v>
      </c>
      <c r="V17" s="1" t="s">
        <v>50</v>
      </c>
      <c r="W17" s="1" t="s">
        <v>27</v>
      </c>
      <c r="X17" s="2">
        <v>127.86180000162541</v>
      </c>
      <c r="Z17"/>
    </row>
    <row r="18" spans="1:26" x14ac:dyDescent="0.3">
      <c r="A18" s="16" t="s">
        <v>150</v>
      </c>
      <c r="B18" s="1" t="s">
        <v>63</v>
      </c>
      <c r="C18">
        <v>74</v>
      </c>
      <c r="D18" s="16">
        <v>7.5472000000000001</v>
      </c>
      <c r="E18">
        <v>280</v>
      </c>
      <c r="F18" s="16">
        <v>2113.2159999999999</v>
      </c>
      <c r="G18" s="1" t="s">
        <v>29</v>
      </c>
      <c r="H18">
        <v>2</v>
      </c>
      <c r="I18">
        <v>5</v>
      </c>
      <c r="J18">
        <v>78</v>
      </c>
      <c r="K18">
        <v>1</v>
      </c>
      <c r="L18" s="1" t="s">
        <v>22</v>
      </c>
      <c r="M18" s="2">
        <v>4.1913</v>
      </c>
      <c r="N18" s="1" t="s">
        <v>33</v>
      </c>
      <c r="O18" s="1" t="s">
        <v>47</v>
      </c>
      <c r="P18">
        <v>3</v>
      </c>
      <c r="Q18">
        <v>399</v>
      </c>
      <c r="R18">
        <v>21</v>
      </c>
      <c r="S18" s="2">
        <v>77.106300000000005</v>
      </c>
      <c r="T18" s="1" t="s">
        <v>57</v>
      </c>
      <c r="U18">
        <v>1.0125630892580491</v>
      </c>
      <c r="V18" s="1" t="s">
        <v>34</v>
      </c>
      <c r="W18" s="1" t="s">
        <v>42</v>
      </c>
      <c r="X18" s="2">
        <v>865.52577977124031</v>
      </c>
      <c r="Z18"/>
    </row>
    <row r="19" spans="1:26" x14ac:dyDescent="0.3">
      <c r="A19" s="16" t="s">
        <v>151</v>
      </c>
      <c r="B19" s="1" t="s">
        <v>64</v>
      </c>
      <c r="C19">
        <v>82</v>
      </c>
      <c r="D19" s="16">
        <v>81.462500000000006</v>
      </c>
      <c r="E19">
        <v>126</v>
      </c>
      <c r="F19" s="16">
        <v>10264.275</v>
      </c>
      <c r="G19" s="1" t="s">
        <v>29</v>
      </c>
      <c r="H19">
        <v>45</v>
      </c>
      <c r="I19">
        <v>17</v>
      </c>
      <c r="J19">
        <v>85</v>
      </c>
      <c r="K19">
        <v>9</v>
      </c>
      <c r="L19" s="1" t="s">
        <v>37</v>
      </c>
      <c r="M19" s="2">
        <v>3.5853999999999999</v>
      </c>
      <c r="N19" s="1" t="s">
        <v>33</v>
      </c>
      <c r="O19" s="1" t="s">
        <v>55</v>
      </c>
      <c r="P19">
        <v>7</v>
      </c>
      <c r="Q19">
        <v>453</v>
      </c>
      <c r="R19">
        <v>16</v>
      </c>
      <c r="S19" s="2">
        <v>47.679699999999997</v>
      </c>
      <c r="T19" s="1" t="s">
        <v>40</v>
      </c>
      <c r="U19">
        <v>0.10202075491817619</v>
      </c>
      <c r="V19" s="1" t="s">
        <v>34</v>
      </c>
      <c r="W19" s="1" t="s">
        <v>35</v>
      </c>
      <c r="X19" s="2">
        <v>670.93439079241034</v>
      </c>
      <c r="Z19"/>
    </row>
    <row r="20" spans="1:26" x14ac:dyDescent="0.3">
      <c r="A20" s="16" t="s">
        <v>149</v>
      </c>
      <c r="B20" s="1" t="s">
        <v>65</v>
      </c>
      <c r="C20">
        <v>23</v>
      </c>
      <c r="D20" s="16">
        <v>36.443600000000004</v>
      </c>
      <c r="E20">
        <v>620</v>
      </c>
      <c r="F20" s="16">
        <v>22595.031999999999</v>
      </c>
      <c r="G20" s="1" t="s">
        <v>32</v>
      </c>
      <c r="H20">
        <v>10</v>
      </c>
      <c r="I20">
        <v>10</v>
      </c>
      <c r="J20">
        <v>46</v>
      </c>
      <c r="K20">
        <v>8</v>
      </c>
      <c r="L20" s="1" t="s">
        <v>37</v>
      </c>
      <c r="M20" s="2">
        <v>4.3391999999999999</v>
      </c>
      <c r="N20" s="1" t="s">
        <v>54</v>
      </c>
      <c r="O20" s="1" t="s">
        <v>39</v>
      </c>
      <c r="P20">
        <v>18</v>
      </c>
      <c r="Q20">
        <v>374</v>
      </c>
      <c r="R20">
        <v>17</v>
      </c>
      <c r="S20" s="2">
        <v>27.108000000000001</v>
      </c>
      <c r="T20" s="1" t="s">
        <v>25</v>
      </c>
      <c r="U20">
        <v>2.2319391107292637</v>
      </c>
      <c r="V20" s="1" t="s">
        <v>50</v>
      </c>
      <c r="W20" s="1" t="s">
        <v>42</v>
      </c>
      <c r="X20" s="2">
        <v>593.48025872065182</v>
      </c>
      <c r="Z20"/>
    </row>
    <row r="21" spans="1:26" x14ac:dyDescent="0.3">
      <c r="A21" s="16" t="s">
        <v>150</v>
      </c>
      <c r="B21" s="1" t="s">
        <v>66</v>
      </c>
      <c r="C21">
        <v>100</v>
      </c>
      <c r="D21" s="16">
        <v>51.123899999999999</v>
      </c>
      <c r="E21">
        <v>187</v>
      </c>
      <c r="F21" s="16">
        <v>9560.1692999999996</v>
      </c>
      <c r="G21" s="1" t="s">
        <v>32</v>
      </c>
      <c r="H21">
        <v>48</v>
      </c>
      <c r="I21">
        <v>11</v>
      </c>
      <c r="J21">
        <v>94</v>
      </c>
      <c r="K21">
        <v>3</v>
      </c>
      <c r="L21" s="1" t="s">
        <v>30</v>
      </c>
      <c r="M21" s="2">
        <v>4.7426000000000004</v>
      </c>
      <c r="N21" s="1" t="s">
        <v>46</v>
      </c>
      <c r="O21" s="1" t="s">
        <v>55</v>
      </c>
      <c r="P21">
        <v>20</v>
      </c>
      <c r="Q21">
        <v>694</v>
      </c>
      <c r="R21">
        <v>16</v>
      </c>
      <c r="S21" s="2">
        <v>82.3733</v>
      </c>
      <c r="T21" s="1" t="s">
        <v>40</v>
      </c>
      <c r="U21">
        <v>3.6464508654170293</v>
      </c>
      <c r="V21" s="1" t="s">
        <v>26</v>
      </c>
      <c r="W21" s="1" t="s">
        <v>35</v>
      </c>
      <c r="X21" s="2">
        <v>477.30763109090344</v>
      </c>
      <c r="Z21"/>
    </row>
    <row r="22" spans="1:26" x14ac:dyDescent="0.3">
      <c r="A22" s="16" t="s">
        <v>150</v>
      </c>
      <c r="B22" s="1" t="s">
        <v>67</v>
      </c>
      <c r="C22">
        <v>22</v>
      </c>
      <c r="D22" s="16">
        <v>96.341099999999997</v>
      </c>
      <c r="E22">
        <v>320</v>
      </c>
      <c r="F22" s="16">
        <v>30829.151999999998</v>
      </c>
      <c r="G22" s="1" t="s">
        <v>32</v>
      </c>
      <c r="H22">
        <v>27</v>
      </c>
      <c r="I22">
        <v>12</v>
      </c>
      <c r="J22">
        <v>68</v>
      </c>
      <c r="K22">
        <v>6</v>
      </c>
      <c r="L22" s="1" t="s">
        <v>30</v>
      </c>
      <c r="M22" s="2">
        <v>8.8782999999999994</v>
      </c>
      <c r="N22" s="1" t="s">
        <v>33</v>
      </c>
      <c r="O22" s="1" t="s">
        <v>55</v>
      </c>
      <c r="P22">
        <v>29</v>
      </c>
      <c r="Q22">
        <v>309</v>
      </c>
      <c r="R22">
        <v>6</v>
      </c>
      <c r="S22" s="2">
        <v>65.686300000000003</v>
      </c>
      <c r="T22" s="1" t="s">
        <v>57</v>
      </c>
      <c r="U22">
        <v>4.2314165735345393</v>
      </c>
      <c r="V22" s="1" t="s">
        <v>34</v>
      </c>
      <c r="W22" s="1" t="s">
        <v>27</v>
      </c>
      <c r="X22" s="2">
        <v>493.87121531620585</v>
      </c>
      <c r="Z22"/>
    </row>
    <row r="23" spans="1:26" x14ac:dyDescent="0.3">
      <c r="A23" s="16" t="s">
        <v>151</v>
      </c>
      <c r="B23" s="1" t="s">
        <v>68</v>
      </c>
      <c r="C23">
        <v>60</v>
      </c>
      <c r="D23" s="16">
        <v>84.893900000000002</v>
      </c>
      <c r="E23">
        <v>601</v>
      </c>
      <c r="F23" s="16">
        <v>51021.233899999999</v>
      </c>
      <c r="G23" s="1" t="s">
        <v>32</v>
      </c>
      <c r="H23">
        <v>69</v>
      </c>
      <c r="I23">
        <v>25</v>
      </c>
      <c r="J23">
        <v>7</v>
      </c>
      <c r="K23">
        <v>6</v>
      </c>
      <c r="L23" s="1" t="s">
        <v>22</v>
      </c>
      <c r="M23" s="2">
        <v>6.0378999999999996</v>
      </c>
      <c r="N23" s="1" t="s">
        <v>38</v>
      </c>
      <c r="O23" s="1" t="s">
        <v>55</v>
      </c>
      <c r="P23">
        <v>19</v>
      </c>
      <c r="Q23">
        <v>791</v>
      </c>
      <c r="R23">
        <v>4</v>
      </c>
      <c r="S23" s="2">
        <v>61.735700000000001</v>
      </c>
      <c r="T23" s="1" t="s">
        <v>25</v>
      </c>
      <c r="U23">
        <v>1.8607567631014899E-2</v>
      </c>
      <c r="V23" s="1" t="s">
        <v>34</v>
      </c>
      <c r="W23" s="1" t="s">
        <v>35</v>
      </c>
      <c r="X23" s="2">
        <v>523.36091472015801</v>
      </c>
      <c r="Z23"/>
    </row>
    <row r="24" spans="1:26" x14ac:dyDescent="0.3">
      <c r="A24" s="16" t="s">
        <v>149</v>
      </c>
      <c r="B24" s="1" t="s">
        <v>69</v>
      </c>
      <c r="C24">
        <v>55</v>
      </c>
      <c r="D24" s="16">
        <v>27.6798</v>
      </c>
      <c r="E24">
        <v>884</v>
      </c>
      <c r="F24" s="16">
        <v>24468.943200000002</v>
      </c>
      <c r="G24" s="1" t="s">
        <v>32</v>
      </c>
      <c r="H24">
        <v>71</v>
      </c>
      <c r="I24">
        <v>1</v>
      </c>
      <c r="J24">
        <v>63</v>
      </c>
      <c r="K24">
        <v>10</v>
      </c>
      <c r="L24" s="1" t="s">
        <v>30</v>
      </c>
      <c r="M24" s="2">
        <v>9.5676000000000005</v>
      </c>
      <c r="N24" s="1" t="s">
        <v>46</v>
      </c>
      <c r="O24" s="1" t="s">
        <v>39</v>
      </c>
      <c r="P24">
        <v>22</v>
      </c>
      <c r="Q24">
        <v>780</v>
      </c>
      <c r="R24">
        <v>28</v>
      </c>
      <c r="S24" s="2">
        <v>50.120800000000003</v>
      </c>
      <c r="T24" s="1" t="s">
        <v>40</v>
      </c>
      <c r="U24">
        <v>2.5912754732111161</v>
      </c>
      <c r="V24" s="1" t="s">
        <v>41</v>
      </c>
      <c r="W24" s="1" t="s">
        <v>35</v>
      </c>
      <c r="X24" s="2">
        <v>205.57199582694707</v>
      </c>
      <c r="Z24"/>
    </row>
    <row r="25" spans="1:26" x14ac:dyDescent="0.3">
      <c r="A25" s="16" t="s">
        <v>151</v>
      </c>
      <c r="B25" s="1" t="s">
        <v>70</v>
      </c>
      <c r="C25">
        <v>30</v>
      </c>
      <c r="D25" s="16">
        <v>4.3243</v>
      </c>
      <c r="E25">
        <v>391</v>
      </c>
      <c r="F25" s="16">
        <v>1690.8013000000001</v>
      </c>
      <c r="G25" s="1" t="s">
        <v>32</v>
      </c>
      <c r="H25">
        <v>84</v>
      </c>
      <c r="I25">
        <v>5</v>
      </c>
      <c r="J25">
        <v>29</v>
      </c>
      <c r="K25">
        <v>7</v>
      </c>
      <c r="L25" s="1" t="s">
        <v>30</v>
      </c>
      <c r="M25" s="2">
        <v>2.9249000000000001</v>
      </c>
      <c r="N25" s="1" t="s">
        <v>38</v>
      </c>
      <c r="O25" s="1" t="s">
        <v>39</v>
      </c>
      <c r="P25">
        <v>11</v>
      </c>
      <c r="Q25">
        <v>568</v>
      </c>
      <c r="R25">
        <v>29</v>
      </c>
      <c r="S25" s="2">
        <v>98.61</v>
      </c>
      <c r="T25" s="1" t="s">
        <v>25</v>
      </c>
      <c r="U25">
        <v>1.3422915627227339</v>
      </c>
      <c r="V25" s="1" t="s">
        <v>41</v>
      </c>
      <c r="W25" s="1" t="s">
        <v>42</v>
      </c>
      <c r="X25" s="2">
        <v>196.32944611241268</v>
      </c>
      <c r="Z25"/>
    </row>
    <row r="26" spans="1:26" x14ac:dyDescent="0.3">
      <c r="A26" s="16" t="s">
        <v>149</v>
      </c>
      <c r="B26" s="1" t="s">
        <v>71</v>
      </c>
      <c r="C26">
        <v>32</v>
      </c>
      <c r="D26" s="16">
        <v>4.1562999999999999</v>
      </c>
      <c r="E26">
        <v>209</v>
      </c>
      <c r="F26" s="16">
        <v>868.66669999999999</v>
      </c>
      <c r="G26" s="1" t="s">
        <v>49</v>
      </c>
      <c r="H26">
        <v>4</v>
      </c>
      <c r="I26">
        <v>26</v>
      </c>
      <c r="J26">
        <v>2</v>
      </c>
      <c r="K26">
        <v>8</v>
      </c>
      <c r="L26" s="1" t="s">
        <v>37</v>
      </c>
      <c r="M26" s="2">
        <v>9.7413000000000007</v>
      </c>
      <c r="N26" s="1" t="s">
        <v>54</v>
      </c>
      <c r="O26" s="1" t="s">
        <v>47</v>
      </c>
      <c r="P26">
        <v>28</v>
      </c>
      <c r="Q26">
        <v>447</v>
      </c>
      <c r="R26">
        <v>3</v>
      </c>
      <c r="S26" s="2">
        <v>40.382399999999997</v>
      </c>
      <c r="T26" s="1" t="s">
        <v>25</v>
      </c>
      <c r="U26">
        <v>3.691310292628728</v>
      </c>
      <c r="V26" s="1" t="s">
        <v>34</v>
      </c>
      <c r="W26" s="1" t="s">
        <v>42</v>
      </c>
      <c r="X26" s="2">
        <v>758.72477260293829</v>
      </c>
      <c r="Z26"/>
    </row>
    <row r="27" spans="1:26" x14ac:dyDescent="0.3">
      <c r="A27" s="16" t="s">
        <v>149</v>
      </c>
      <c r="B27" s="1" t="s">
        <v>72</v>
      </c>
      <c r="C27">
        <v>73</v>
      </c>
      <c r="D27" s="16">
        <v>39.629300000000001</v>
      </c>
      <c r="E27">
        <v>142</v>
      </c>
      <c r="F27" s="16">
        <v>5627.3606</v>
      </c>
      <c r="G27" s="1" t="s">
        <v>49</v>
      </c>
      <c r="H27">
        <v>82</v>
      </c>
      <c r="I27">
        <v>11</v>
      </c>
      <c r="J27">
        <v>52</v>
      </c>
      <c r="K27">
        <v>3</v>
      </c>
      <c r="L27" s="1" t="s">
        <v>37</v>
      </c>
      <c r="M27" s="2">
        <v>2.2311000000000001</v>
      </c>
      <c r="N27" s="1" t="s">
        <v>46</v>
      </c>
      <c r="O27" s="1" t="s">
        <v>39</v>
      </c>
      <c r="P27">
        <v>19</v>
      </c>
      <c r="Q27">
        <v>934</v>
      </c>
      <c r="R27">
        <v>23</v>
      </c>
      <c r="S27" s="2">
        <v>78.2804</v>
      </c>
      <c r="T27" s="1" t="s">
        <v>25</v>
      </c>
      <c r="U27">
        <v>3.7972312171141831</v>
      </c>
      <c r="V27" s="1" t="s">
        <v>26</v>
      </c>
      <c r="W27" s="1" t="s">
        <v>27</v>
      </c>
      <c r="X27" s="2">
        <v>458.53594573920907</v>
      </c>
      <c r="Z27"/>
    </row>
    <row r="28" spans="1:26" x14ac:dyDescent="0.3">
      <c r="A28" s="16" t="s">
        <v>149</v>
      </c>
      <c r="B28" s="1" t="s">
        <v>73</v>
      </c>
      <c r="C28">
        <v>9</v>
      </c>
      <c r="D28" s="16">
        <v>97.446899999999999</v>
      </c>
      <c r="E28">
        <v>353</v>
      </c>
      <c r="F28" s="16">
        <v>34398.755700000002</v>
      </c>
      <c r="G28" s="1" t="s">
        <v>49</v>
      </c>
      <c r="H28">
        <v>59</v>
      </c>
      <c r="I28">
        <v>16</v>
      </c>
      <c r="J28">
        <v>48</v>
      </c>
      <c r="K28">
        <v>4</v>
      </c>
      <c r="L28" s="1" t="s">
        <v>22</v>
      </c>
      <c r="M28" s="2">
        <v>6.5075000000000003</v>
      </c>
      <c r="N28" s="1" t="s">
        <v>54</v>
      </c>
      <c r="O28" s="1" t="s">
        <v>47</v>
      </c>
      <c r="P28">
        <v>26</v>
      </c>
      <c r="Q28">
        <v>171</v>
      </c>
      <c r="R28">
        <v>4</v>
      </c>
      <c r="S28" s="2">
        <v>15.972200000000001</v>
      </c>
      <c r="T28" s="1" t="s">
        <v>57</v>
      </c>
      <c r="U28">
        <v>2.1193197367249228</v>
      </c>
      <c r="V28" s="1" t="s">
        <v>41</v>
      </c>
      <c r="W28" s="1" t="s">
        <v>42</v>
      </c>
      <c r="X28" s="2">
        <v>617.8669164583772</v>
      </c>
      <c r="Z28"/>
    </row>
    <row r="29" spans="1:26" x14ac:dyDescent="0.3">
      <c r="A29" s="16" t="s">
        <v>151</v>
      </c>
      <c r="B29" s="1" t="s">
        <v>74</v>
      </c>
      <c r="C29">
        <v>42</v>
      </c>
      <c r="D29" s="16">
        <v>92.557400000000001</v>
      </c>
      <c r="E29">
        <v>352</v>
      </c>
      <c r="F29" s="16">
        <v>32580.2048</v>
      </c>
      <c r="G29" s="1" t="s">
        <v>32</v>
      </c>
      <c r="H29">
        <v>47</v>
      </c>
      <c r="I29">
        <v>9</v>
      </c>
      <c r="J29">
        <v>62</v>
      </c>
      <c r="K29">
        <v>8</v>
      </c>
      <c r="L29" s="1" t="s">
        <v>37</v>
      </c>
      <c r="M29" s="2">
        <v>7.4067999999999996</v>
      </c>
      <c r="N29" s="1" t="s">
        <v>38</v>
      </c>
      <c r="O29" s="1" t="s">
        <v>24</v>
      </c>
      <c r="P29">
        <v>25</v>
      </c>
      <c r="Q29">
        <v>291</v>
      </c>
      <c r="R29">
        <v>4</v>
      </c>
      <c r="S29" s="2">
        <v>10.5282</v>
      </c>
      <c r="T29" s="1" t="s">
        <v>40</v>
      </c>
      <c r="U29">
        <v>2.8646678378833732</v>
      </c>
      <c r="V29" s="1" t="s">
        <v>50</v>
      </c>
      <c r="W29" s="1" t="s">
        <v>27</v>
      </c>
      <c r="X29" s="2">
        <v>762.45918215568372</v>
      </c>
      <c r="Z29"/>
    </row>
    <row r="30" spans="1:26" x14ac:dyDescent="0.3">
      <c r="A30" s="16" t="s">
        <v>151</v>
      </c>
      <c r="B30" s="1" t="s">
        <v>75</v>
      </c>
      <c r="C30">
        <v>12</v>
      </c>
      <c r="D30" s="16">
        <v>2.3973</v>
      </c>
      <c r="E30">
        <v>394</v>
      </c>
      <c r="F30" s="16">
        <v>944.53620000000001</v>
      </c>
      <c r="G30" s="1" t="s">
        <v>29</v>
      </c>
      <c r="H30">
        <v>48</v>
      </c>
      <c r="I30">
        <v>15</v>
      </c>
      <c r="J30">
        <v>24</v>
      </c>
      <c r="K30">
        <v>4</v>
      </c>
      <c r="L30" s="1" t="s">
        <v>22</v>
      </c>
      <c r="M30" s="2">
        <v>9.8980999999999995</v>
      </c>
      <c r="N30" s="1" t="s">
        <v>33</v>
      </c>
      <c r="O30" s="1" t="s">
        <v>24</v>
      </c>
      <c r="P30">
        <v>13</v>
      </c>
      <c r="Q30">
        <v>171</v>
      </c>
      <c r="R30">
        <v>7</v>
      </c>
      <c r="S30" s="2">
        <v>59.429400000000001</v>
      </c>
      <c r="T30" s="1" t="s">
        <v>40</v>
      </c>
      <c r="U30">
        <v>0.81575707929567198</v>
      </c>
      <c r="V30" s="1" t="s">
        <v>34</v>
      </c>
      <c r="W30" s="1" t="s">
        <v>42</v>
      </c>
      <c r="X30" s="2">
        <v>123.43702751182708</v>
      </c>
      <c r="Z30"/>
    </row>
    <row r="31" spans="1:26" x14ac:dyDescent="0.3">
      <c r="A31" s="16" t="s">
        <v>151</v>
      </c>
      <c r="B31" s="1" t="s">
        <v>76</v>
      </c>
      <c r="C31">
        <v>3</v>
      </c>
      <c r="D31" s="16">
        <v>63.447600000000001</v>
      </c>
      <c r="E31">
        <v>253</v>
      </c>
      <c r="F31" s="16">
        <v>16052.2428</v>
      </c>
      <c r="G31" s="1" t="s">
        <v>29</v>
      </c>
      <c r="H31">
        <v>45</v>
      </c>
      <c r="I31">
        <v>5</v>
      </c>
      <c r="J31">
        <v>67</v>
      </c>
      <c r="K31">
        <v>7</v>
      </c>
      <c r="L31" s="1" t="s">
        <v>22</v>
      </c>
      <c r="M31" s="2">
        <v>8.1010000000000009</v>
      </c>
      <c r="N31" s="1" t="s">
        <v>33</v>
      </c>
      <c r="O31" s="1" t="s">
        <v>39</v>
      </c>
      <c r="P31">
        <v>16</v>
      </c>
      <c r="Q31">
        <v>329</v>
      </c>
      <c r="R31">
        <v>7</v>
      </c>
      <c r="S31" s="2">
        <v>39.292900000000003</v>
      </c>
      <c r="T31" s="1" t="s">
        <v>57</v>
      </c>
      <c r="U31">
        <v>3.8780989365884881</v>
      </c>
      <c r="V31" s="1" t="s">
        <v>26</v>
      </c>
      <c r="W31" s="1" t="s">
        <v>27</v>
      </c>
      <c r="X31" s="2">
        <v>764.93537594070813</v>
      </c>
      <c r="Z31"/>
    </row>
    <row r="32" spans="1:26" x14ac:dyDescent="0.3">
      <c r="A32" s="16" t="s">
        <v>149</v>
      </c>
      <c r="B32" s="1" t="s">
        <v>77</v>
      </c>
      <c r="C32">
        <v>10</v>
      </c>
      <c r="D32" s="16">
        <v>8.0228999999999999</v>
      </c>
      <c r="E32">
        <v>327</v>
      </c>
      <c r="F32" s="16">
        <v>2623.4883</v>
      </c>
      <c r="G32" s="1" t="s">
        <v>49</v>
      </c>
      <c r="H32">
        <v>60</v>
      </c>
      <c r="I32">
        <v>26</v>
      </c>
      <c r="J32">
        <v>35</v>
      </c>
      <c r="K32">
        <v>7</v>
      </c>
      <c r="L32" s="1" t="s">
        <v>22</v>
      </c>
      <c r="M32" s="2">
        <v>8.9544999999999995</v>
      </c>
      <c r="N32" s="1" t="s">
        <v>46</v>
      </c>
      <c r="O32" s="1" t="s">
        <v>39</v>
      </c>
      <c r="P32">
        <v>27</v>
      </c>
      <c r="Q32">
        <v>806</v>
      </c>
      <c r="R32">
        <v>30</v>
      </c>
      <c r="S32" s="2">
        <v>51.634900000000002</v>
      </c>
      <c r="T32" s="1" t="s">
        <v>25</v>
      </c>
      <c r="U32">
        <v>0.96539470535239313</v>
      </c>
      <c r="V32" s="1" t="s">
        <v>26</v>
      </c>
      <c r="W32" s="1" t="s">
        <v>35</v>
      </c>
      <c r="X32" s="2">
        <v>880.08098824716103</v>
      </c>
      <c r="Z32"/>
    </row>
    <row r="33" spans="1:26" x14ac:dyDescent="0.3">
      <c r="A33" s="16" t="s">
        <v>150</v>
      </c>
      <c r="B33" s="1" t="s">
        <v>78</v>
      </c>
      <c r="C33">
        <v>28</v>
      </c>
      <c r="D33" s="16">
        <v>50.8474</v>
      </c>
      <c r="E33">
        <v>168</v>
      </c>
      <c r="F33" s="16">
        <v>8542.3631999999998</v>
      </c>
      <c r="G33" s="1" t="s">
        <v>49</v>
      </c>
      <c r="H33">
        <v>6</v>
      </c>
      <c r="I33">
        <v>17</v>
      </c>
      <c r="J33">
        <v>44</v>
      </c>
      <c r="K33">
        <v>4</v>
      </c>
      <c r="L33" s="1" t="s">
        <v>22</v>
      </c>
      <c r="M33" s="2">
        <v>2.6797</v>
      </c>
      <c r="N33" s="1" t="s">
        <v>23</v>
      </c>
      <c r="O33" s="1" t="s">
        <v>55</v>
      </c>
      <c r="P33">
        <v>24</v>
      </c>
      <c r="Q33">
        <v>461</v>
      </c>
      <c r="R33">
        <v>8</v>
      </c>
      <c r="S33" s="2">
        <v>60.251100000000001</v>
      </c>
      <c r="T33" s="1" t="s">
        <v>25</v>
      </c>
      <c r="U33">
        <v>2.9890000066550746</v>
      </c>
      <c r="V33" s="1" t="s">
        <v>41</v>
      </c>
      <c r="W33" s="1" t="s">
        <v>35</v>
      </c>
      <c r="X33" s="2">
        <v>609.37920661842668</v>
      </c>
      <c r="Z33"/>
    </row>
    <row r="34" spans="1:26" x14ac:dyDescent="0.3">
      <c r="A34" s="16" t="s">
        <v>150</v>
      </c>
      <c r="B34" s="1" t="s">
        <v>79</v>
      </c>
      <c r="C34">
        <v>43</v>
      </c>
      <c r="D34" s="16">
        <v>79.209900000000005</v>
      </c>
      <c r="E34">
        <v>781</v>
      </c>
      <c r="F34" s="16">
        <v>61862.931900000003</v>
      </c>
      <c r="G34" s="1" t="s">
        <v>32</v>
      </c>
      <c r="H34">
        <v>89</v>
      </c>
      <c r="I34">
        <v>13</v>
      </c>
      <c r="J34">
        <v>64</v>
      </c>
      <c r="K34">
        <v>4</v>
      </c>
      <c r="L34" s="1" t="s">
        <v>37</v>
      </c>
      <c r="M34" s="2">
        <v>6.5991</v>
      </c>
      <c r="N34" s="1" t="s">
        <v>23</v>
      </c>
      <c r="O34" s="1" t="s">
        <v>39</v>
      </c>
      <c r="P34">
        <v>30</v>
      </c>
      <c r="Q34">
        <v>737</v>
      </c>
      <c r="R34">
        <v>7</v>
      </c>
      <c r="S34" s="2">
        <v>29.692499999999999</v>
      </c>
      <c r="T34" s="1" t="s">
        <v>57</v>
      </c>
      <c r="U34">
        <v>1.9460361193861131</v>
      </c>
      <c r="V34" s="1" t="s">
        <v>26</v>
      </c>
      <c r="W34" s="1" t="s">
        <v>42</v>
      </c>
      <c r="X34" s="2">
        <v>761.17390951487755</v>
      </c>
      <c r="Z34"/>
    </row>
    <row r="35" spans="1:26" x14ac:dyDescent="0.3">
      <c r="A35" s="16" t="s">
        <v>151</v>
      </c>
      <c r="B35" s="1" t="s">
        <v>80</v>
      </c>
      <c r="C35">
        <v>63</v>
      </c>
      <c r="D35" s="16">
        <v>64.795400000000001</v>
      </c>
      <c r="E35">
        <v>616</v>
      </c>
      <c r="F35" s="16">
        <v>39913.966399999998</v>
      </c>
      <c r="G35" s="1" t="s">
        <v>21</v>
      </c>
      <c r="H35">
        <v>4</v>
      </c>
      <c r="I35">
        <v>17</v>
      </c>
      <c r="J35">
        <v>95</v>
      </c>
      <c r="K35">
        <v>9</v>
      </c>
      <c r="L35" s="1" t="s">
        <v>37</v>
      </c>
      <c r="M35" s="2">
        <v>4.8582999999999998</v>
      </c>
      <c r="N35" s="1" t="s">
        <v>38</v>
      </c>
      <c r="O35" s="1" t="s">
        <v>55</v>
      </c>
      <c r="P35">
        <v>1</v>
      </c>
      <c r="Q35">
        <v>251</v>
      </c>
      <c r="R35">
        <v>23</v>
      </c>
      <c r="S35" s="2">
        <v>23.853400000000001</v>
      </c>
      <c r="T35" s="1" t="s">
        <v>40</v>
      </c>
      <c r="U35">
        <v>3.5410460122509231</v>
      </c>
      <c r="V35" s="1" t="s">
        <v>50</v>
      </c>
      <c r="W35" s="1" t="s">
        <v>42</v>
      </c>
      <c r="X35" s="2">
        <v>371.25529551987103</v>
      </c>
      <c r="Z35"/>
    </row>
    <row r="36" spans="1:26" x14ac:dyDescent="0.3">
      <c r="A36" s="16" t="s">
        <v>150</v>
      </c>
      <c r="B36" s="1" t="s">
        <v>81</v>
      </c>
      <c r="C36">
        <v>96</v>
      </c>
      <c r="D36" s="16">
        <v>37.467599999999997</v>
      </c>
      <c r="E36">
        <v>602</v>
      </c>
      <c r="F36" s="16">
        <v>22555.495200000001</v>
      </c>
      <c r="G36" s="1" t="s">
        <v>32</v>
      </c>
      <c r="H36">
        <v>1</v>
      </c>
      <c r="I36">
        <v>26</v>
      </c>
      <c r="J36">
        <v>21</v>
      </c>
      <c r="K36">
        <v>7</v>
      </c>
      <c r="L36" s="1" t="s">
        <v>30</v>
      </c>
      <c r="M36" s="2">
        <v>1.0195000000000001</v>
      </c>
      <c r="N36" s="1" t="s">
        <v>33</v>
      </c>
      <c r="O36" s="1" t="s">
        <v>55</v>
      </c>
      <c r="P36">
        <v>4</v>
      </c>
      <c r="Q36">
        <v>452</v>
      </c>
      <c r="R36">
        <v>10</v>
      </c>
      <c r="S36" s="2">
        <v>10.754300000000001</v>
      </c>
      <c r="T36" s="1" t="s">
        <v>57</v>
      </c>
      <c r="U36">
        <v>0.64660455937205485</v>
      </c>
      <c r="V36" s="1" t="s">
        <v>26</v>
      </c>
      <c r="W36" s="1" t="s">
        <v>27</v>
      </c>
      <c r="X36" s="2">
        <v>510.3580004335235</v>
      </c>
      <c r="Z36"/>
    </row>
    <row r="37" spans="1:26" x14ac:dyDescent="0.3">
      <c r="A37" s="16" t="s">
        <v>151</v>
      </c>
      <c r="B37" s="1" t="s">
        <v>82</v>
      </c>
      <c r="C37">
        <v>11</v>
      </c>
      <c r="D37" s="16">
        <v>84.957800000000006</v>
      </c>
      <c r="E37">
        <v>449</v>
      </c>
      <c r="F37" s="16">
        <v>38146.052199999998</v>
      </c>
      <c r="G37" s="1" t="s">
        <v>29</v>
      </c>
      <c r="H37">
        <v>42</v>
      </c>
      <c r="I37">
        <v>27</v>
      </c>
      <c r="J37">
        <v>85</v>
      </c>
      <c r="K37">
        <v>8</v>
      </c>
      <c r="L37" s="1" t="s">
        <v>37</v>
      </c>
      <c r="M37" s="2">
        <v>5.2881999999999998</v>
      </c>
      <c r="N37" s="1" t="s">
        <v>33</v>
      </c>
      <c r="O37" s="1" t="s">
        <v>44</v>
      </c>
      <c r="P37">
        <v>3</v>
      </c>
      <c r="Q37">
        <v>367</v>
      </c>
      <c r="R37">
        <v>2</v>
      </c>
      <c r="S37" s="2">
        <v>58.004800000000003</v>
      </c>
      <c r="T37" s="1" t="s">
        <v>57</v>
      </c>
      <c r="U37">
        <v>0.54115409806058112</v>
      </c>
      <c r="V37" s="1" t="s">
        <v>50</v>
      </c>
      <c r="W37" s="1" t="s">
        <v>35</v>
      </c>
      <c r="X37" s="2">
        <v>553.42047123035582</v>
      </c>
      <c r="Z37"/>
    </row>
    <row r="38" spans="1:26" x14ac:dyDescent="0.3">
      <c r="A38" s="16" t="s">
        <v>150</v>
      </c>
      <c r="B38" s="1" t="s">
        <v>83</v>
      </c>
      <c r="C38">
        <v>34</v>
      </c>
      <c r="D38" s="16">
        <v>9.8130000000000006</v>
      </c>
      <c r="E38">
        <v>963</v>
      </c>
      <c r="F38" s="16">
        <v>9449.9189999999999</v>
      </c>
      <c r="G38" s="1" t="s">
        <v>29</v>
      </c>
      <c r="H38">
        <v>18</v>
      </c>
      <c r="I38">
        <v>23</v>
      </c>
      <c r="J38">
        <v>28</v>
      </c>
      <c r="K38">
        <v>3</v>
      </c>
      <c r="L38" s="1" t="s">
        <v>22</v>
      </c>
      <c r="M38" s="2">
        <v>2.1080000000000001</v>
      </c>
      <c r="N38" s="1" t="s">
        <v>54</v>
      </c>
      <c r="O38" s="1" t="s">
        <v>44</v>
      </c>
      <c r="P38">
        <v>26</v>
      </c>
      <c r="Q38">
        <v>671</v>
      </c>
      <c r="R38">
        <v>19</v>
      </c>
      <c r="S38" s="2">
        <v>45.531399999999998</v>
      </c>
      <c r="T38" s="1" t="s">
        <v>40</v>
      </c>
      <c r="U38">
        <v>3.8055333792433537</v>
      </c>
      <c r="V38" s="1" t="s">
        <v>34</v>
      </c>
      <c r="W38" s="1" t="s">
        <v>35</v>
      </c>
      <c r="X38" s="2">
        <v>403.8089742481805</v>
      </c>
      <c r="Z38"/>
    </row>
    <row r="39" spans="1:26" x14ac:dyDescent="0.3">
      <c r="A39" s="16" t="s">
        <v>150</v>
      </c>
      <c r="B39" s="1" t="s">
        <v>84</v>
      </c>
      <c r="C39">
        <v>5</v>
      </c>
      <c r="D39" s="16">
        <v>23.399799999999999</v>
      </c>
      <c r="E39">
        <v>963</v>
      </c>
      <c r="F39" s="16">
        <v>22534.007399999999</v>
      </c>
      <c r="G39" s="1" t="s">
        <v>29</v>
      </c>
      <c r="H39">
        <v>25</v>
      </c>
      <c r="I39">
        <v>8</v>
      </c>
      <c r="J39">
        <v>21</v>
      </c>
      <c r="K39">
        <v>9</v>
      </c>
      <c r="L39" s="1" t="s">
        <v>30</v>
      </c>
      <c r="M39" s="2">
        <v>1.5327</v>
      </c>
      <c r="N39" s="1" t="s">
        <v>23</v>
      </c>
      <c r="O39" s="1" t="s">
        <v>39</v>
      </c>
      <c r="P39">
        <v>24</v>
      </c>
      <c r="Q39">
        <v>867</v>
      </c>
      <c r="R39">
        <v>15</v>
      </c>
      <c r="S39" s="2">
        <v>34.343299999999999</v>
      </c>
      <c r="T39" s="1" t="s">
        <v>25</v>
      </c>
      <c r="U39">
        <v>2.6102880848481131</v>
      </c>
      <c r="V39" s="1" t="s">
        <v>50</v>
      </c>
      <c r="W39" s="1" t="s">
        <v>42</v>
      </c>
      <c r="X39" s="2">
        <v>183.93296804359437</v>
      </c>
      <c r="Z39"/>
    </row>
    <row r="40" spans="1:26" x14ac:dyDescent="0.3">
      <c r="A40" s="16" t="s">
        <v>151</v>
      </c>
      <c r="B40" s="1" t="s">
        <v>85</v>
      </c>
      <c r="C40">
        <v>75</v>
      </c>
      <c r="D40" s="16">
        <v>52.075899999999997</v>
      </c>
      <c r="E40">
        <v>705</v>
      </c>
      <c r="F40" s="16">
        <v>36713.5095</v>
      </c>
      <c r="G40" s="1" t="s">
        <v>21</v>
      </c>
      <c r="H40">
        <v>69</v>
      </c>
      <c r="I40">
        <v>1</v>
      </c>
      <c r="J40">
        <v>88</v>
      </c>
      <c r="K40">
        <v>5</v>
      </c>
      <c r="L40" s="1" t="s">
        <v>22</v>
      </c>
      <c r="M40" s="2">
        <v>9.2359000000000009</v>
      </c>
      <c r="N40" s="1" t="s">
        <v>38</v>
      </c>
      <c r="O40" s="1" t="s">
        <v>24</v>
      </c>
      <c r="P40">
        <v>10</v>
      </c>
      <c r="Q40">
        <v>841</v>
      </c>
      <c r="R40">
        <v>12</v>
      </c>
      <c r="S40" s="2">
        <v>5.9306999999999999</v>
      </c>
      <c r="T40" s="1" t="s">
        <v>25</v>
      </c>
      <c r="U40">
        <v>0.61332689916450744</v>
      </c>
      <c r="V40" s="1" t="s">
        <v>34</v>
      </c>
      <c r="W40" s="1" t="s">
        <v>27</v>
      </c>
      <c r="X40" s="2">
        <v>339.67286994860615</v>
      </c>
      <c r="Z40"/>
    </row>
    <row r="41" spans="1:26" x14ac:dyDescent="0.3">
      <c r="A41" s="16" t="s">
        <v>150</v>
      </c>
      <c r="B41" s="1" t="s">
        <v>86</v>
      </c>
      <c r="C41">
        <v>26</v>
      </c>
      <c r="D41" s="16">
        <v>19.127500000000001</v>
      </c>
      <c r="E41">
        <v>176</v>
      </c>
      <c r="F41" s="16">
        <v>3366.44</v>
      </c>
      <c r="G41" s="1" t="s">
        <v>29</v>
      </c>
      <c r="H41">
        <v>78</v>
      </c>
      <c r="I41">
        <v>29</v>
      </c>
      <c r="J41">
        <v>34</v>
      </c>
      <c r="K41">
        <v>3</v>
      </c>
      <c r="L41" s="1" t="s">
        <v>30</v>
      </c>
      <c r="M41" s="2">
        <v>5.5625</v>
      </c>
      <c r="N41" s="1" t="s">
        <v>54</v>
      </c>
      <c r="O41" s="1" t="s">
        <v>39</v>
      </c>
      <c r="P41">
        <v>30</v>
      </c>
      <c r="Q41">
        <v>791</v>
      </c>
      <c r="R41">
        <v>6</v>
      </c>
      <c r="S41" s="2">
        <v>9.0058000000000007</v>
      </c>
      <c r="T41" s="1" t="s">
        <v>40</v>
      </c>
      <c r="U41">
        <v>1.4519722039968159</v>
      </c>
      <c r="V41" s="1" t="s">
        <v>34</v>
      </c>
      <c r="W41" s="1" t="s">
        <v>27</v>
      </c>
      <c r="X41" s="2">
        <v>653.67299455203317</v>
      </c>
      <c r="Z41"/>
    </row>
    <row r="42" spans="1:26" x14ac:dyDescent="0.3">
      <c r="A42" s="16" t="s">
        <v>150</v>
      </c>
      <c r="B42" s="1" t="s">
        <v>87</v>
      </c>
      <c r="C42">
        <v>97</v>
      </c>
      <c r="D42" s="16">
        <v>80.541399999999996</v>
      </c>
      <c r="E42">
        <v>933</v>
      </c>
      <c r="F42" s="16">
        <v>75145.126199999999</v>
      </c>
      <c r="G42" s="1" t="s">
        <v>29</v>
      </c>
      <c r="H42">
        <v>90</v>
      </c>
      <c r="I42">
        <v>20</v>
      </c>
      <c r="J42">
        <v>39</v>
      </c>
      <c r="K42">
        <v>8</v>
      </c>
      <c r="L42" s="1" t="s">
        <v>37</v>
      </c>
      <c r="M42" s="2">
        <v>7.2295999999999996</v>
      </c>
      <c r="N42" s="1" t="s">
        <v>33</v>
      </c>
      <c r="O42" s="1" t="s">
        <v>39</v>
      </c>
      <c r="P42">
        <v>18</v>
      </c>
      <c r="Q42">
        <v>793</v>
      </c>
      <c r="R42">
        <v>1</v>
      </c>
      <c r="S42" s="2">
        <v>88.179400000000001</v>
      </c>
      <c r="T42" s="1" t="s">
        <v>25</v>
      </c>
      <c r="U42">
        <v>4.2132694305865659</v>
      </c>
      <c r="V42" s="1" t="s">
        <v>26</v>
      </c>
      <c r="W42" s="1" t="s">
        <v>42</v>
      </c>
      <c r="X42" s="2">
        <v>529.80872398069187</v>
      </c>
      <c r="Z42"/>
    </row>
    <row r="43" spans="1:26" x14ac:dyDescent="0.3">
      <c r="A43" s="16" t="s">
        <v>150</v>
      </c>
      <c r="B43" s="1" t="s">
        <v>88</v>
      </c>
      <c r="C43">
        <v>35</v>
      </c>
      <c r="D43" s="16">
        <v>99.113299999999995</v>
      </c>
      <c r="E43">
        <v>556</v>
      </c>
      <c r="F43" s="16">
        <v>55106.9948</v>
      </c>
      <c r="G43" s="1" t="s">
        <v>29</v>
      </c>
      <c r="H43">
        <v>64</v>
      </c>
      <c r="I43">
        <v>19</v>
      </c>
      <c r="J43">
        <v>38</v>
      </c>
      <c r="K43">
        <v>8</v>
      </c>
      <c r="L43" s="1" t="s">
        <v>22</v>
      </c>
      <c r="M43" s="2">
        <v>5.7732999999999999</v>
      </c>
      <c r="N43" s="1" t="s">
        <v>46</v>
      </c>
      <c r="O43" s="1" t="s">
        <v>55</v>
      </c>
      <c r="P43">
        <v>18</v>
      </c>
      <c r="Q43">
        <v>892</v>
      </c>
      <c r="R43">
        <v>7</v>
      </c>
      <c r="S43" s="2">
        <v>95.332099999999997</v>
      </c>
      <c r="T43" s="1" t="s">
        <v>40</v>
      </c>
      <c r="U43">
        <v>4.530226239825963E-2</v>
      </c>
      <c r="V43" s="1" t="s">
        <v>50</v>
      </c>
      <c r="W43" s="1" t="s">
        <v>42</v>
      </c>
      <c r="X43" s="2">
        <v>275.52437113130981</v>
      </c>
      <c r="Z43"/>
    </row>
    <row r="44" spans="1:26" x14ac:dyDescent="0.3">
      <c r="A44" s="16" t="s">
        <v>150</v>
      </c>
      <c r="B44" s="1" t="s">
        <v>89</v>
      </c>
      <c r="C44">
        <v>98</v>
      </c>
      <c r="D44" s="16">
        <v>46.529200000000003</v>
      </c>
      <c r="E44">
        <v>155</v>
      </c>
      <c r="F44" s="16">
        <v>7212.0259999999998</v>
      </c>
      <c r="G44" s="1" t="s">
        <v>29</v>
      </c>
      <c r="H44">
        <v>22</v>
      </c>
      <c r="I44">
        <v>27</v>
      </c>
      <c r="J44">
        <v>57</v>
      </c>
      <c r="K44">
        <v>4</v>
      </c>
      <c r="L44" s="1" t="s">
        <v>37</v>
      </c>
      <c r="M44" s="2">
        <v>7.5262000000000002</v>
      </c>
      <c r="N44" s="1" t="s">
        <v>38</v>
      </c>
      <c r="O44" s="1" t="s">
        <v>47</v>
      </c>
      <c r="P44">
        <v>26</v>
      </c>
      <c r="Q44">
        <v>179</v>
      </c>
      <c r="R44">
        <v>7</v>
      </c>
      <c r="S44" s="2">
        <v>96.422799999999995</v>
      </c>
      <c r="T44" s="1" t="s">
        <v>40</v>
      </c>
      <c r="U44">
        <v>4.9392552886209478</v>
      </c>
      <c r="V44" s="1" t="s">
        <v>26</v>
      </c>
      <c r="W44" s="1" t="s">
        <v>42</v>
      </c>
      <c r="X44" s="2">
        <v>635.65712050199193</v>
      </c>
      <c r="Z44"/>
    </row>
    <row r="45" spans="1:26" x14ac:dyDescent="0.3">
      <c r="A45" s="16" t="s">
        <v>149</v>
      </c>
      <c r="B45" s="1" t="s">
        <v>90</v>
      </c>
      <c r="C45">
        <v>6</v>
      </c>
      <c r="D45" s="16">
        <v>11.7433</v>
      </c>
      <c r="E45">
        <v>598</v>
      </c>
      <c r="F45" s="16">
        <v>7022.4934000000003</v>
      </c>
      <c r="G45" s="1" t="s">
        <v>32</v>
      </c>
      <c r="H45">
        <v>36</v>
      </c>
      <c r="I45">
        <v>29</v>
      </c>
      <c r="J45">
        <v>85</v>
      </c>
      <c r="K45">
        <v>9</v>
      </c>
      <c r="L45" s="1" t="s">
        <v>22</v>
      </c>
      <c r="M45" s="2">
        <v>3.694</v>
      </c>
      <c r="N45" s="1" t="s">
        <v>38</v>
      </c>
      <c r="O45" s="1" t="s">
        <v>24</v>
      </c>
      <c r="P45">
        <v>1</v>
      </c>
      <c r="Q45">
        <v>206</v>
      </c>
      <c r="R45">
        <v>23</v>
      </c>
      <c r="S45" s="2">
        <v>26.2774</v>
      </c>
      <c r="T45" s="1" t="s">
        <v>25</v>
      </c>
      <c r="U45">
        <v>0.37230476798509771</v>
      </c>
      <c r="V45" s="1" t="s">
        <v>34</v>
      </c>
      <c r="W45" s="1" t="s">
        <v>42</v>
      </c>
      <c r="X45" s="2">
        <v>716.04411975934067</v>
      </c>
      <c r="Z45"/>
    </row>
    <row r="46" spans="1:26" x14ac:dyDescent="0.3">
      <c r="A46" s="16" t="s">
        <v>151</v>
      </c>
      <c r="B46" s="1" t="s">
        <v>91</v>
      </c>
      <c r="C46">
        <v>34</v>
      </c>
      <c r="D46" s="16">
        <v>51.355800000000002</v>
      </c>
      <c r="E46">
        <v>919</v>
      </c>
      <c r="F46" s="16">
        <v>47195.980199999998</v>
      </c>
      <c r="G46" s="1" t="s">
        <v>29</v>
      </c>
      <c r="H46">
        <v>13</v>
      </c>
      <c r="I46">
        <v>19</v>
      </c>
      <c r="J46">
        <v>72</v>
      </c>
      <c r="K46">
        <v>6</v>
      </c>
      <c r="L46" s="1" t="s">
        <v>37</v>
      </c>
      <c r="M46" s="2">
        <v>7.5773999999999999</v>
      </c>
      <c r="N46" s="1" t="s">
        <v>54</v>
      </c>
      <c r="O46" s="1" t="s">
        <v>44</v>
      </c>
      <c r="P46">
        <v>7</v>
      </c>
      <c r="Q46">
        <v>834</v>
      </c>
      <c r="R46">
        <v>18</v>
      </c>
      <c r="S46" s="2">
        <v>22.554099999999998</v>
      </c>
      <c r="T46" s="1" t="s">
        <v>40</v>
      </c>
      <c r="U46">
        <v>2.9626263204548819</v>
      </c>
      <c r="V46" s="1" t="s">
        <v>41</v>
      </c>
      <c r="W46" s="1" t="s">
        <v>42</v>
      </c>
      <c r="X46" s="2">
        <v>610.45326961922774</v>
      </c>
      <c r="Z46"/>
    </row>
    <row r="47" spans="1:26" x14ac:dyDescent="0.3">
      <c r="A47" s="16" t="s">
        <v>149</v>
      </c>
      <c r="B47" s="1" t="s">
        <v>92</v>
      </c>
      <c r="C47">
        <v>1</v>
      </c>
      <c r="D47" s="16">
        <v>33.784100000000002</v>
      </c>
      <c r="E47">
        <v>24</v>
      </c>
      <c r="F47" s="16">
        <v>810.8184</v>
      </c>
      <c r="G47" s="1" t="s">
        <v>49</v>
      </c>
      <c r="H47">
        <v>93</v>
      </c>
      <c r="I47">
        <v>7</v>
      </c>
      <c r="J47">
        <v>52</v>
      </c>
      <c r="K47">
        <v>6</v>
      </c>
      <c r="L47" s="1" t="s">
        <v>22</v>
      </c>
      <c r="M47" s="2">
        <v>5.2152000000000003</v>
      </c>
      <c r="N47" s="1" t="s">
        <v>54</v>
      </c>
      <c r="O47" s="1" t="s">
        <v>55</v>
      </c>
      <c r="P47">
        <v>25</v>
      </c>
      <c r="Q47">
        <v>794</v>
      </c>
      <c r="R47">
        <v>25</v>
      </c>
      <c r="S47" s="2">
        <v>66.3125</v>
      </c>
      <c r="T47" s="1" t="s">
        <v>57</v>
      </c>
      <c r="U47">
        <v>3.219604612084106</v>
      </c>
      <c r="V47" s="1" t="s">
        <v>41</v>
      </c>
      <c r="W47" s="1" t="s">
        <v>42</v>
      </c>
      <c r="X47" s="2">
        <v>495.30569702847396</v>
      </c>
      <c r="Z47"/>
    </row>
    <row r="48" spans="1:26" x14ac:dyDescent="0.3">
      <c r="A48" s="16" t="s">
        <v>149</v>
      </c>
      <c r="B48" s="1" t="s">
        <v>93</v>
      </c>
      <c r="C48">
        <v>75</v>
      </c>
      <c r="D48" s="16">
        <v>27.0822</v>
      </c>
      <c r="E48">
        <v>859</v>
      </c>
      <c r="F48" s="16">
        <v>23263.609799999998</v>
      </c>
      <c r="G48" s="1" t="s">
        <v>21</v>
      </c>
      <c r="H48">
        <v>92</v>
      </c>
      <c r="I48">
        <v>29</v>
      </c>
      <c r="J48">
        <v>6</v>
      </c>
      <c r="K48">
        <v>8</v>
      </c>
      <c r="L48" s="1" t="s">
        <v>22</v>
      </c>
      <c r="M48" s="2">
        <v>4.0709999999999997</v>
      </c>
      <c r="N48" s="1" t="s">
        <v>23</v>
      </c>
      <c r="O48" s="1" t="s">
        <v>55</v>
      </c>
      <c r="P48">
        <v>18</v>
      </c>
      <c r="Q48">
        <v>870</v>
      </c>
      <c r="R48">
        <v>23</v>
      </c>
      <c r="S48" s="2">
        <v>77.322400000000002</v>
      </c>
      <c r="T48" s="1" t="s">
        <v>25</v>
      </c>
      <c r="U48">
        <v>3.6486105925362033</v>
      </c>
      <c r="V48" s="1" t="s">
        <v>26</v>
      </c>
      <c r="W48" s="1" t="s">
        <v>27</v>
      </c>
      <c r="X48" s="2">
        <v>380.43593711196428</v>
      </c>
      <c r="Z48"/>
    </row>
    <row r="49" spans="1:26" x14ac:dyDescent="0.3">
      <c r="A49" s="16" t="s">
        <v>150</v>
      </c>
      <c r="B49" s="1" t="s">
        <v>94</v>
      </c>
      <c r="C49">
        <v>93</v>
      </c>
      <c r="D49" s="16">
        <v>95.712100000000007</v>
      </c>
      <c r="E49">
        <v>910</v>
      </c>
      <c r="F49" s="16">
        <v>87098.010999999999</v>
      </c>
      <c r="G49" s="1" t="s">
        <v>49</v>
      </c>
      <c r="H49">
        <v>4</v>
      </c>
      <c r="I49">
        <v>15</v>
      </c>
      <c r="J49">
        <v>51</v>
      </c>
      <c r="K49">
        <v>9</v>
      </c>
      <c r="L49" s="1" t="s">
        <v>22</v>
      </c>
      <c r="M49" s="2">
        <v>8.9787999999999997</v>
      </c>
      <c r="N49" s="1" t="s">
        <v>33</v>
      </c>
      <c r="O49" s="1" t="s">
        <v>39</v>
      </c>
      <c r="P49">
        <v>10</v>
      </c>
      <c r="Q49">
        <v>964</v>
      </c>
      <c r="R49">
        <v>20</v>
      </c>
      <c r="S49" s="2">
        <v>19.713000000000001</v>
      </c>
      <c r="T49" s="1" t="s">
        <v>25</v>
      </c>
      <c r="U49">
        <v>0.38057358671321373</v>
      </c>
      <c r="V49" s="1" t="s">
        <v>41</v>
      </c>
      <c r="W49" s="1" t="s">
        <v>42</v>
      </c>
      <c r="X49" s="2">
        <v>581.60235505058677</v>
      </c>
      <c r="Z49"/>
    </row>
    <row r="50" spans="1:26" x14ac:dyDescent="0.3">
      <c r="A50" s="16" t="s">
        <v>149</v>
      </c>
      <c r="B50" s="1" t="s">
        <v>95</v>
      </c>
      <c r="C50">
        <v>28</v>
      </c>
      <c r="D50" s="16">
        <v>76.035499999999999</v>
      </c>
      <c r="E50">
        <v>29</v>
      </c>
      <c r="F50" s="16">
        <v>2205.0295000000001</v>
      </c>
      <c r="G50" s="1" t="s">
        <v>21</v>
      </c>
      <c r="H50">
        <v>30</v>
      </c>
      <c r="I50">
        <v>16</v>
      </c>
      <c r="J50">
        <v>9</v>
      </c>
      <c r="K50">
        <v>3</v>
      </c>
      <c r="L50" s="1" t="s">
        <v>37</v>
      </c>
      <c r="M50" s="2">
        <v>7.0957999999999997</v>
      </c>
      <c r="N50" s="1" t="s">
        <v>54</v>
      </c>
      <c r="O50" s="1" t="s">
        <v>24</v>
      </c>
      <c r="P50">
        <v>9</v>
      </c>
      <c r="Q50">
        <v>109</v>
      </c>
      <c r="R50">
        <v>18</v>
      </c>
      <c r="S50" s="2">
        <v>23.1264</v>
      </c>
      <c r="T50" s="1" t="s">
        <v>40</v>
      </c>
      <c r="U50">
        <v>1.6981125407144038</v>
      </c>
      <c r="V50" s="1" t="s">
        <v>41</v>
      </c>
      <c r="W50" s="1" t="s">
        <v>27</v>
      </c>
      <c r="X50" s="2">
        <v>768.65191395437</v>
      </c>
      <c r="Z50"/>
    </row>
    <row r="51" spans="1:26" x14ac:dyDescent="0.3">
      <c r="A51" s="16" t="s">
        <v>151</v>
      </c>
      <c r="B51" s="1" t="s">
        <v>96</v>
      </c>
      <c r="C51">
        <v>19</v>
      </c>
      <c r="D51" s="16">
        <v>78.897900000000007</v>
      </c>
      <c r="E51">
        <v>99</v>
      </c>
      <c r="F51" s="16">
        <v>7810.8921</v>
      </c>
      <c r="G51" s="1" t="s">
        <v>32</v>
      </c>
      <c r="H51">
        <v>97</v>
      </c>
      <c r="I51">
        <v>24</v>
      </c>
      <c r="J51">
        <v>9</v>
      </c>
      <c r="K51">
        <v>6</v>
      </c>
      <c r="L51" s="1" t="s">
        <v>37</v>
      </c>
      <c r="M51" s="2">
        <v>2.5055999999999998</v>
      </c>
      <c r="N51" s="1" t="s">
        <v>38</v>
      </c>
      <c r="O51" s="1" t="s">
        <v>44</v>
      </c>
      <c r="P51">
        <v>28</v>
      </c>
      <c r="Q51">
        <v>177</v>
      </c>
      <c r="R51">
        <v>28</v>
      </c>
      <c r="S51" s="2">
        <v>14.1478</v>
      </c>
      <c r="T51" s="1" t="s">
        <v>57</v>
      </c>
      <c r="U51">
        <v>2.8258139854001318</v>
      </c>
      <c r="V51" s="1" t="s">
        <v>41</v>
      </c>
      <c r="W51" s="1" t="s">
        <v>42</v>
      </c>
      <c r="X51" s="2">
        <v>336.89016851997792</v>
      </c>
      <c r="Z51"/>
    </row>
    <row r="52" spans="1:26" x14ac:dyDescent="0.3">
      <c r="A52" s="16" t="s">
        <v>151</v>
      </c>
      <c r="B52" s="1" t="s">
        <v>97</v>
      </c>
      <c r="C52">
        <v>91</v>
      </c>
      <c r="D52" s="16">
        <v>14.2035</v>
      </c>
      <c r="E52">
        <v>633</v>
      </c>
      <c r="F52" s="16">
        <v>8990.8155000000006</v>
      </c>
      <c r="G52" s="1" t="s">
        <v>29</v>
      </c>
      <c r="H52">
        <v>31</v>
      </c>
      <c r="I52">
        <v>23</v>
      </c>
      <c r="J52">
        <v>82</v>
      </c>
      <c r="K52">
        <v>10</v>
      </c>
      <c r="L52" s="1" t="s">
        <v>30</v>
      </c>
      <c r="M52" s="2">
        <v>6.2478999999999996</v>
      </c>
      <c r="N52" s="1" t="s">
        <v>54</v>
      </c>
      <c r="O52" s="1" t="s">
        <v>44</v>
      </c>
      <c r="P52">
        <v>20</v>
      </c>
      <c r="Q52">
        <v>306</v>
      </c>
      <c r="R52">
        <v>21</v>
      </c>
      <c r="S52" s="2">
        <v>45.178800000000003</v>
      </c>
      <c r="T52" s="1" t="s">
        <v>40</v>
      </c>
      <c r="U52">
        <v>4.7548008046711852</v>
      </c>
      <c r="V52" s="1" t="s">
        <v>41</v>
      </c>
      <c r="W52" s="1" t="s">
        <v>27</v>
      </c>
      <c r="X52" s="2">
        <v>496.24865029194046</v>
      </c>
      <c r="Z52"/>
    </row>
    <row r="53" spans="1:26" x14ac:dyDescent="0.3">
      <c r="A53" s="16" t="s">
        <v>149</v>
      </c>
      <c r="B53" s="1" t="s">
        <v>98</v>
      </c>
      <c r="C53">
        <v>61</v>
      </c>
      <c r="D53" s="16">
        <v>26.700800000000001</v>
      </c>
      <c r="E53">
        <v>154</v>
      </c>
      <c r="F53" s="16">
        <v>4111.9232000000002</v>
      </c>
      <c r="G53" s="1" t="s">
        <v>49</v>
      </c>
      <c r="H53">
        <v>100</v>
      </c>
      <c r="I53">
        <v>4</v>
      </c>
      <c r="J53">
        <v>52</v>
      </c>
      <c r="K53">
        <v>1</v>
      </c>
      <c r="L53" s="1" t="s">
        <v>30</v>
      </c>
      <c r="M53" s="2">
        <v>4.7830000000000004</v>
      </c>
      <c r="N53" s="1" t="s">
        <v>38</v>
      </c>
      <c r="O53" s="1" t="s">
        <v>47</v>
      </c>
      <c r="P53">
        <v>18</v>
      </c>
      <c r="Q53">
        <v>673</v>
      </c>
      <c r="R53">
        <v>28</v>
      </c>
      <c r="S53" s="2">
        <v>14.190300000000001</v>
      </c>
      <c r="T53" s="1" t="s">
        <v>25</v>
      </c>
      <c r="U53">
        <v>1.7729511720835571</v>
      </c>
      <c r="V53" s="1" t="s">
        <v>26</v>
      </c>
      <c r="W53" s="1" t="s">
        <v>42</v>
      </c>
      <c r="X53" s="2">
        <v>694.98231757944586</v>
      </c>
      <c r="Z53"/>
    </row>
    <row r="54" spans="1:26" x14ac:dyDescent="0.3">
      <c r="A54" s="16" t="s">
        <v>150</v>
      </c>
      <c r="B54" s="1" t="s">
        <v>99</v>
      </c>
      <c r="C54">
        <v>1</v>
      </c>
      <c r="D54" s="16">
        <v>98.031800000000004</v>
      </c>
      <c r="E54">
        <v>820</v>
      </c>
      <c r="F54" s="16">
        <v>80386.076000000001</v>
      </c>
      <c r="G54" s="1" t="s">
        <v>49</v>
      </c>
      <c r="H54">
        <v>64</v>
      </c>
      <c r="I54">
        <v>11</v>
      </c>
      <c r="J54">
        <v>11</v>
      </c>
      <c r="K54">
        <v>1</v>
      </c>
      <c r="L54" s="1" t="s">
        <v>22</v>
      </c>
      <c r="M54" s="2">
        <v>8.6311</v>
      </c>
      <c r="N54" s="1" t="s">
        <v>33</v>
      </c>
      <c r="O54" s="1" t="s">
        <v>24</v>
      </c>
      <c r="P54">
        <v>10</v>
      </c>
      <c r="Q54">
        <v>727</v>
      </c>
      <c r="R54">
        <v>27</v>
      </c>
      <c r="S54" s="2">
        <v>9.1668000000000003</v>
      </c>
      <c r="T54" s="1" t="s">
        <v>25</v>
      </c>
      <c r="U54">
        <v>2.1224716191438247</v>
      </c>
      <c r="V54" s="1" t="s">
        <v>34</v>
      </c>
      <c r="W54" s="1" t="s">
        <v>35</v>
      </c>
      <c r="X54" s="2">
        <v>602.89849883838338</v>
      </c>
      <c r="Z54"/>
    </row>
    <row r="55" spans="1:26" x14ac:dyDescent="0.3">
      <c r="A55" s="16" t="s">
        <v>150</v>
      </c>
      <c r="B55" s="1" t="s">
        <v>100</v>
      </c>
      <c r="C55">
        <v>93</v>
      </c>
      <c r="D55" s="16">
        <v>30.3415</v>
      </c>
      <c r="E55">
        <v>242</v>
      </c>
      <c r="F55" s="16">
        <v>7342.643</v>
      </c>
      <c r="G55" s="1" t="s">
        <v>49</v>
      </c>
      <c r="H55">
        <v>96</v>
      </c>
      <c r="I55">
        <v>25</v>
      </c>
      <c r="J55">
        <v>54</v>
      </c>
      <c r="K55">
        <v>3</v>
      </c>
      <c r="L55" s="1" t="s">
        <v>22</v>
      </c>
      <c r="M55" s="2">
        <v>1.0135000000000001</v>
      </c>
      <c r="N55" s="1" t="s">
        <v>33</v>
      </c>
      <c r="O55" s="1" t="s">
        <v>44</v>
      </c>
      <c r="P55">
        <v>1</v>
      </c>
      <c r="Q55">
        <v>631</v>
      </c>
      <c r="R55">
        <v>17</v>
      </c>
      <c r="S55" s="2">
        <v>83.344099999999997</v>
      </c>
      <c r="T55" s="1" t="s">
        <v>25</v>
      </c>
      <c r="U55">
        <v>1.4103475760760271</v>
      </c>
      <c r="V55" s="1" t="s">
        <v>34</v>
      </c>
      <c r="W55" s="1" t="s">
        <v>27</v>
      </c>
      <c r="X55" s="2">
        <v>750.73784066827091</v>
      </c>
      <c r="Z55"/>
    </row>
    <row r="56" spans="1:26" x14ac:dyDescent="0.3">
      <c r="A56" s="16" t="s">
        <v>149</v>
      </c>
      <c r="B56" s="1" t="s">
        <v>101</v>
      </c>
      <c r="C56">
        <v>11</v>
      </c>
      <c r="D56" s="16">
        <v>31.1462</v>
      </c>
      <c r="E56">
        <v>622</v>
      </c>
      <c r="F56" s="16">
        <v>19372.936399999999</v>
      </c>
      <c r="G56" s="1" t="s">
        <v>21</v>
      </c>
      <c r="H56">
        <v>33</v>
      </c>
      <c r="I56">
        <v>22</v>
      </c>
      <c r="J56">
        <v>61</v>
      </c>
      <c r="K56">
        <v>3</v>
      </c>
      <c r="L56" s="1" t="s">
        <v>22</v>
      </c>
      <c r="M56" s="2">
        <v>4.3051000000000004</v>
      </c>
      <c r="N56" s="1" t="s">
        <v>33</v>
      </c>
      <c r="O56" s="1" t="s">
        <v>39</v>
      </c>
      <c r="P56">
        <v>26</v>
      </c>
      <c r="Q56">
        <v>497</v>
      </c>
      <c r="R56">
        <v>29</v>
      </c>
      <c r="S56" s="2">
        <v>30.186</v>
      </c>
      <c r="T56" s="1" t="s">
        <v>57</v>
      </c>
      <c r="U56">
        <v>2.4787719755397477</v>
      </c>
      <c r="V56" s="1" t="s">
        <v>26</v>
      </c>
      <c r="W56" s="1" t="s">
        <v>27</v>
      </c>
      <c r="X56" s="2">
        <v>814.06999658218751</v>
      </c>
      <c r="Z56"/>
    </row>
    <row r="57" spans="1:26" x14ac:dyDescent="0.3">
      <c r="A57" s="16" t="s">
        <v>149</v>
      </c>
      <c r="B57" s="1" t="s">
        <v>102</v>
      </c>
      <c r="C57">
        <v>16</v>
      </c>
      <c r="D57" s="16">
        <v>79.855099999999993</v>
      </c>
      <c r="E57">
        <v>701</v>
      </c>
      <c r="F57" s="16">
        <v>55978.4251</v>
      </c>
      <c r="G57" s="1" t="s">
        <v>49</v>
      </c>
      <c r="H57">
        <v>97</v>
      </c>
      <c r="I57">
        <v>11</v>
      </c>
      <c r="J57">
        <v>11</v>
      </c>
      <c r="K57">
        <v>5</v>
      </c>
      <c r="L57" s="1" t="s">
        <v>30</v>
      </c>
      <c r="M57" s="2">
        <v>5.0144000000000002</v>
      </c>
      <c r="N57" s="1" t="s">
        <v>54</v>
      </c>
      <c r="O57" s="1" t="s">
        <v>44</v>
      </c>
      <c r="P57">
        <v>27</v>
      </c>
      <c r="Q57">
        <v>918</v>
      </c>
      <c r="R57">
        <v>5</v>
      </c>
      <c r="S57" s="2">
        <v>30.323499999999999</v>
      </c>
      <c r="T57" s="1" t="s">
        <v>40</v>
      </c>
      <c r="U57">
        <v>4.5489196593963852</v>
      </c>
      <c r="V57" s="1" t="s">
        <v>50</v>
      </c>
      <c r="W57" s="1" t="s">
        <v>27</v>
      </c>
      <c r="X57" s="2">
        <v>323.01292795247883</v>
      </c>
      <c r="Z57"/>
    </row>
    <row r="58" spans="1:26" x14ac:dyDescent="0.3">
      <c r="A58" s="16" t="s">
        <v>150</v>
      </c>
      <c r="B58" s="1" t="s">
        <v>103</v>
      </c>
      <c r="C58">
        <v>90</v>
      </c>
      <c r="D58" s="16">
        <v>20.9864</v>
      </c>
      <c r="E58">
        <v>93</v>
      </c>
      <c r="F58" s="16">
        <v>1951.7352000000001</v>
      </c>
      <c r="G58" s="1" t="s">
        <v>21</v>
      </c>
      <c r="H58">
        <v>25</v>
      </c>
      <c r="I58">
        <v>23</v>
      </c>
      <c r="J58">
        <v>83</v>
      </c>
      <c r="K58">
        <v>5</v>
      </c>
      <c r="L58" s="1" t="s">
        <v>37</v>
      </c>
      <c r="M58" s="2">
        <v>1.7744</v>
      </c>
      <c r="N58" s="1" t="s">
        <v>33</v>
      </c>
      <c r="O58" s="1" t="s">
        <v>24</v>
      </c>
      <c r="P58">
        <v>24</v>
      </c>
      <c r="Q58">
        <v>826</v>
      </c>
      <c r="R58">
        <v>28</v>
      </c>
      <c r="S58" s="2">
        <v>12.8363</v>
      </c>
      <c r="T58" s="1" t="s">
        <v>57</v>
      </c>
      <c r="U58">
        <v>1.1737554953874541</v>
      </c>
      <c r="V58" s="1" t="s">
        <v>34</v>
      </c>
      <c r="W58" s="1" t="s">
        <v>27</v>
      </c>
      <c r="X58" s="2">
        <v>832.21080870602168</v>
      </c>
      <c r="Z58"/>
    </row>
    <row r="59" spans="1:26" x14ac:dyDescent="0.3">
      <c r="A59" s="16" t="s">
        <v>149</v>
      </c>
      <c r="B59" s="1" t="s">
        <v>104</v>
      </c>
      <c r="C59">
        <v>65</v>
      </c>
      <c r="D59" s="16">
        <v>49.263199999999998</v>
      </c>
      <c r="E59">
        <v>227</v>
      </c>
      <c r="F59" s="16">
        <v>11182.7464</v>
      </c>
      <c r="G59" s="1" t="s">
        <v>32</v>
      </c>
      <c r="H59">
        <v>5</v>
      </c>
      <c r="I59">
        <v>18</v>
      </c>
      <c r="J59">
        <v>51</v>
      </c>
      <c r="K59">
        <v>1</v>
      </c>
      <c r="L59" s="1" t="s">
        <v>22</v>
      </c>
      <c r="M59" s="2">
        <v>9.1606000000000005</v>
      </c>
      <c r="N59" s="1" t="s">
        <v>54</v>
      </c>
      <c r="O59" s="1" t="s">
        <v>44</v>
      </c>
      <c r="P59">
        <v>21</v>
      </c>
      <c r="Q59">
        <v>588</v>
      </c>
      <c r="R59">
        <v>25</v>
      </c>
      <c r="S59" s="2">
        <v>67.779600000000002</v>
      </c>
      <c r="T59" s="1" t="s">
        <v>25</v>
      </c>
      <c r="U59">
        <v>2.511174830212707</v>
      </c>
      <c r="V59" s="1" t="s">
        <v>41</v>
      </c>
      <c r="W59" s="1" t="s">
        <v>42</v>
      </c>
      <c r="X59" s="2">
        <v>482.19123860252813</v>
      </c>
      <c r="Z59"/>
    </row>
    <row r="60" spans="1:26" x14ac:dyDescent="0.3">
      <c r="A60" s="16" t="s">
        <v>150</v>
      </c>
      <c r="B60" s="1" t="s">
        <v>105</v>
      </c>
      <c r="C60">
        <v>81</v>
      </c>
      <c r="D60" s="16">
        <v>59.8416</v>
      </c>
      <c r="E60">
        <v>896</v>
      </c>
      <c r="F60" s="16">
        <v>53618.073600000003</v>
      </c>
      <c r="G60" s="1" t="s">
        <v>21</v>
      </c>
      <c r="H60">
        <v>10</v>
      </c>
      <c r="I60">
        <v>5</v>
      </c>
      <c r="J60">
        <v>44</v>
      </c>
      <c r="K60">
        <v>7</v>
      </c>
      <c r="L60" s="1" t="s">
        <v>30</v>
      </c>
      <c r="M60" s="2">
        <v>4.9383999999999997</v>
      </c>
      <c r="N60" s="1" t="s">
        <v>23</v>
      </c>
      <c r="O60" s="1" t="s">
        <v>44</v>
      </c>
      <c r="P60">
        <v>18</v>
      </c>
      <c r="Q60">
        <v>396</v>
      </c>
      <c r="R60">
        <v>7</v>
      </c>
      <c r="S60" s="2">
        <v>65.047399999999996</v>
      </c>
      <c r="T60" s="1" t="s">
        <v>40</v>
      </c>
      <c r="U60">
        <v>1.7303747198591968</v>
      </c>
      <c r="V60" s="1" t="s">
        <v>26</v>
      </c>
      <c r="W60" s="1" t="s">
        <v>27</v>
      </c>
      <c r="X60" s="2">
        <v>110.36433523136472</v>
      </c>
      <c r="Z60"/>
    </row>
    <row r="61" spans="1:26" x14ac:dyDescent="0.3">
      <c r="A61" s="16" t="s">
        <v>151</v>
      </c>
      <c r="B61" s="1" t="s">
        <v>106</v>
      </c>
      <c r="C61">
        <v>30</v>
      </c>
      <c r="D61" s="16">
        <v>63.828400000000002</v>
      </c>
      <c r="E61">
        <v>484</v>
      </c>
      <c r="F61" s="16">
        <v>30892.945599999999</v>
      </c>
      <c r="G61" s="1" t="s">
        <v>21</v>
      </c>
      <c r="H61">
        <v>100</v>
      </c>
      <c r="I61">
        <v>16</v>
      </c>
      <c r="J61">
        <v>26</v>
      </c>
      <c r="K61">
        <v>7</v>
      </c>
      <c r="L61" s="1" t="s">
        <v>22</v>
      </c>
      <c r="M61" s="2">
        <v>7.2937000000000003</v>
      </c>
      <c r="N61" s="1" t="s">
        <v>33</v>
      </c>
      <c r="O61" s="1" t="s">
        <v>39</v>
      </c>
      <c r="P61">
        <v>11</v>
      </c>
      <c r="Q61">
        <v>176</v>
      </c>
      <c r="R61">
        <v>4</v>
      </c>
      <c r="S61" s="2">
        <v>1.9008</v>
      </c>
      <c r="T61" s="1" t="s">
        <v>40</v>
      </c>
      <c r="U61">
        <v>0.4471940154638232</v>
      </c>
      <c r="V61" s="1" t="s">
        <v>34</v>
      </c>
      <c r="W61" s="1" t="s">
        <v>42</v>
      </c>
      <c r="X61" s="2">
        <v>312.57427361009331</v>
      </c>
      <c r="Z61"/>
    </row>
    <row r="62" spans="1:26" x14ac:dyDescent="0.3">
      <c r="A62" s="16" t="s">
        <v>150</v>
      </c>
      <c r="B62" s="1" t="s">
        <v>107</v>
      </c>
      <c r="C62">
        <v>16</v>
      </c>
      <c r="D62" s="16">
        <v>17.027999999999999</v>
      </c>
      <c r="E62">
        <v>380</v>
      </c>
      <c r="F62" s="16">
        <v>6470.64</v>
      </c>
      <c r="G62" s="1" t="s">
        <v>29</v>
      </c>
      <c r="H62">
        <v>41</v>
      </c>
      <c r="I62">
        <v>27</v>
      </c>
      <c r="J62">
        <v>72</v>
      </c>
      <c r="K62">
        <v>8</v>
      </c>
      <c r="L62" s="1" t="s">
        <v>37</v>
      </c>
      <c r="M62" s="2">
        <v>4.3814000000000002</v>
      </c>
      <c r="N62" s="1" t="s">
        <v>46</v>
      </c>
      <c r="O62" s="1" t="s">
        <v>24</v>
      </c>
      <c r="P62">
        <v>29</v>
      </c>
      <c r="Q62">
        <v>929</v>
      </c>
      <c r="R62">
        <v>24</v>
      </c>
      <c r="S62" s="2">
        <v>87.213099999999997</v>
      </c>
      <c r="T62" s="1" t="s">
        <v>40</v>
      </c>
      <c r="U62">
        <v>2.8530906166490539</v>
      </c>
      <c r="V62" s="1" t="s">
        <v>41</v>
      </c>
      <c r="W62" s="1" t="s">
        <v>42</v>
      </c>
      <c r="X62" s="2">
        <v>430.16909697513654</v>
      </c>
      <c r="Z62"/>
    </row>
    <row r="63" spans="1:26" x14ac:dyDescent="0.3">
      <c r="A63" s="16" t="s">
        <v>149</v>
      </c>
      <c r="B63" s="1" t="s">
        <v>108</v>
      </c>
      <c r="C63">
        <v>23</v>
      </c>
      <c r="D63" s="16">
        <v>52.028700000000001</v>
      </c>
      <c r="E63">
        <v>117</v>
      </c>
      <c r="F63" s="16">
        <v>6087.3579</v>
      </c>
      <c r="G63" s="1" t="s">
        <v>32</v>
      </c>
      <c r="H63">
        <v>32</v>
      </c>
      <c r="I63">
        <v>23</v>
      </c>
      <c r="J63">
        <v>36</v>
      </c>
      <c r="K63">
        <v>7</v>
      </c>
      <c r="L63" s="1" t="s">
        <v>37</v>
      </c>
      <c r="M63" s="2">
        <v>9.0303000000000004</v>
      </c>
      <c r="N63" s="1" t="s">
        <v>46</v>
      </c>
      <c r="O63" s="1" t="s">
        <v>39</v>
      </c>
      <c r="P63">
        <v>14</v>
      </c>
      <c r="Q63">
        <v>480</v>
      </c>
      <c r="R63">
        <v>12</v>
      </c>
      <c r="S63" s="2">
        <v>78.702399999999997</v>
      </c>
      <c r="T63" s="1" t="s">
        <v>40</v>
      </c>
      <c r="U63">
        <v>4.3674705382050529</v>
      </c>
      <c r="V63" s="1" t="s">
        <v>34</v>
      </c>
      <c r="W63" s="1" t="s">
        <v>42</v>
      </c>
      <c r="X63" s="2">
        <v>164.36652824341942</v>
      </c>
      <c r="Z63"/>
    </row>
    <row r="64" spans="1:26" x14ac:dyDescent="0.3">
      <c r="A64" s="16" t="s">
        <v>151</v>
      </c>
      <c r="B64" s="1" t="s">
        <v>109</v>
      </c>
      <c r="C64">
        <v>89</v>
      </c>
      <c r="D64" s="16">
        <v>72.796400000000006</v>
      </c>
      <c r="E64">
        <v>270</v>
      </c>
      <c r="F64" s="16">
        <v>19655.027999999998</v>
      </c>
      <c r="G64" s="1" t="s">
        <v>32</v>
      </c>
      <c r="H64">
        <v>86</v>
      </c>
      <c r="I64">
        <v>2</v>
      </c>
      <c r="J64">
        <v>40</v>
      </c>
      <c r="K64">
        <v>7</v>
      </c>
      <c r="L64" s="1" t="s">
        <v>37</v>
      </c>
      <c r="M64" s="2">
        <v>7.2916999999999996</v>
      </c>
      <c r="N64" s="1" t="s">
        <v>54</v>
      </c>
      <c r="O64" s="1" t="s">
        <v>24</v>
      </c>
      <c r="P64">
        <v>13</v>
      </c>
      <c r="Q64">
        <v>751</v>
      </c>
      <c r="R64">
        <v>14</v>
      </c>
      <c r="S64" s="2">
        <v>21.0486</v>
      </c>
      <c r="T64" s="1" t="s">
        <v>57</v>
      </c>
      <c r="U64">
        <v>1.8740014040443747</v>
      </c>
      <c r="V64" s="1" t="s">
        <v>50</v>
      </c>
      <c r="W64" s="1" t="s">
        <v>35</v>
      </c>
      <c r="X64" s="2">
        <v>320.84651575911158</v>
      </c>
      <c r="Z64"/>
    </row>
    <row r="65" spans="1:26" x14ac:dyDescent="0.3">
      <c r="A65" s="16" t="s">
        <v>150</v>
      </c>
      <c r="B65" s="1" t="s">
        <v>110</v>
      </c>
      <c r="C65">
        <v>55</v>
      </c>
      <c r="D65" s="16">
        <v>13.0174</v>
      </c>
      <c r="E65">
        <v>246</v>
      </c>
      <c r="F65" s="16">
        <v>3202.2804000000001</v>
      </c>
      <c r="G65" s="1" t="s">
        <v>21</v>
      </c>
      <c r="H65">
        <v>54</v>
      </c>
      <c r="I65">
        <v>19</v>
      </c>
      <c r="J65">
        <v>10</v>
      </c>
      <c r="K65">
        <v>4</v>
      </c>
      <c r="L65" s="1" t="s">
        <v>30</v>
      </c>
      <c r="M65" s="2">
        <v>2.4579</v>
      </c>
      <c r="N65" s="1" t="s">
        <v>23</v>
      </c>
      <c r="O65" s="1" t="s">
        <v>47</v>
      </c>
      <c r="P65">
        <v>18</v>
      </c>
      <c r="Q65">
        <v>736</v>
      </c>
      <c r="R65">
        <v>10</v>
      </c>
      <c r="S65" s="2">
        <v>20.074999999999999</v>
      </c>
      <c r="T65" s="1" t="s">
        <v>25</v>
      </c>
      <c r="U65">
        <v>3.6328432903821337</v>
      </c>
      <c r="V65" s="1" t="s">
        <v>50</v>
      </c>
      <c r="W65" s="1" t="s">
        <v>42</v>
      </c>
      <c r="X65" s="2">
        <v>687.28617786641735</v>
      </c>
      <c r="Z65"/>
    </row>
    <row r="66" spans="1:26" x14ac:dyDescent="0.3">
      <c r="A66" s="16" t="s">
        <v>150</v>
      </c>
      <c r="B66" s="1" t="s">
        <v>111</v>
      </c>
      <c r="C66">
        <v>11</v>
      </c>
      <c r="D66" s="16">
        <v>89.634100000000004</v>
      </c>
      <c r="E66">
        <v>134</v>
      </c>
      <c r="F66" s="16">
        <v>12010.9694</v>
      </c>
      <c r="G66" s="1" t="s">
        <v>29</v>
      </c>
      <c r="H66">
        <v>73</v>
      </c>
      <c r="I66">
        <v>27</v>
      </c>
      <c r="J66">
        <v>75</v>
      </c>
      <c r="K66">
        <v>6</v>
      </c>
      <c r="L66" s="1" t="s">
        <v>37</v>
      </c>
      <c r="M66" s="2">
        <v>4.5853999999999999</v>
      </c>
      <c r="N66" s="1" t="s">
        <v>33</v>
      </c>
      <c r="O66" s="1" t="s">
        <v>44</v>
      </c>
      <c r="P66">
        <v>17</v>
      </c>
      <c r="Q66">
        <v>328</v>
      </c>
      <c r="R66">
        <v>6</v>
      </c>
      <c r="S66" s="2">
        <v>8.6929999999999996</v>
      </c>
      <c r="T66" s="1" t="s">
        <v>40</v>
      </c>
      <c r="U66">
        <v>0.15948631471751462</v>
      </c>
      <c r="V66" s="1" t="s">
        <v>34</v>
      </c>
      <c r="W66" s="1" t="s">
        <v>35</v>
      </c>
      <c r="X66" s="2">
        <v>771.22508468115745</v>
      </c>
      <c r="Z66"/>
    </row>
    <row r="67" spans="1:26" x14ac:dyDescent="0.3">
      <c r="A67" s="16" t="s">
        <v>150</v>
      </c>
      <c r="B67" s="1" t="s">
        <v>112</v>
      </c>
      <c r="C67">
        <v>72</v>
      </c>
      <c r="D67" s="16">
        <v>33.697699999999998</v>
      </c>
      <c r="E67">
        <v>457</v>
      </c>
      <c r="F67" s="16">
        <v>15399.848900000001</v>
      </c>
      <c r="G67" s="1" t="s">
        <v>49</v>
      </c>
      <c r="H67">
        <v>57</v>
      </c>
      <c r="I67">
        <v>24</v>
      </c>
      <c r="J67">
        <v>54</v>
      </c>
      <c r="K67">
        <v>8</v>
      </c>
      <c r="L67" s="1" t="s">
        <v>37</v>
      </c>
      <c r="M67" s="2">
        <v>6.5804999999999998</v>
      </c>
      <c r="N67" s="1" t="s">
        <v>38</v>
      </c>
      <c r="O67" s="1" t="s">
        <v>39</v>
      </c>
      <c r="P67">
        <v>16</v>
      </c>
      <c r="Q67">
        <v>358</v>
      </c>
      <c r="R67">
        <v>21</v>
      </c>
      <c r="S67" s="2">
        <v>1.5972</v>
      </c>
      <c r="T67" s="1" t="s">
        <v>40</v>
      </c>
      <c r="U67">
        <v>4.911095954842331</v>
      </c>
      <c r="V67" s="1" t="s">
        <v>41</v>
      </c>
      <c r="W67" s="1" t="s">
        <v>35</v>
      </c>
      <c r="X67" s="2">
        <v>555.85910367174347</v>
      </c>
      <c r="Z67"/>
    </row>
    <row r="68" spans="1:26" x14ac:dyDescent="0.3">
      <c r="A68" s="16" t="s">
        <v>150</v>
      </c>
      <c r="B68" s="1" t="s">
        <v>113</v>
      </c>
      <c r="C68">
        <v>52</v>
      </c>
      <c r="D68" s="16">
        <v>26.0349</v>
      </c>
      <c r="E68">
        <v>704</v>
      </c>
      <c r="F68" s="16">
        <v>18328.569599999999</v>
      </c>
      <c r="G68" s="1" t="s">
        <v>29</v>
      </c>
      <c r="H68">
        <v>13</v>
      </c>
      <c r="I68">
        <v>17</v>
      </c>
      <c r="J68">
        <v>19</v>
      </c>
      <c r="K68">
        <v>8</v>
      </c>
      <c r="L68" s="1" t="s">
        <v>30</v>
      </c>
      <c r="M68" s="2">
        <v>2.2161</v>
      </c>
      <c r="N68" s="1" t="s">
        <v>38</v>
      </c>
      <c r="O68" s="1" t="s">
        <v>39</v>
      </c>
      <c r="P68">
        <v>24</v>
      </c>
      <c r="Q68">
        <v>867</v>
      </c>
      <c r="R68">
        <v>28</v>
      </c>
      <c r="S68" s="2">
        <v>42.084400000000002</v>
      </c>
      <c r="T68" s="1" t="s">
        <v>40</v>
      </c>
      <c r="U68">
        <v>3.4480632883402618</v>
      </c>
      <c r="V68" s="1" t="s">
        <v>26</v>
      </c>
      <c r="W68" s="1" t="s">
        <v>42</v>
      </c>
      <c r="X68" s="2">
        <v>393.84334857842788</v>
      </c>
      <c r="Z68"/>
    </row>
    <row r="69" spans="1:26" x14ac:dyDescent="0.3">
      <c r="A69" s="16" t="s">
        <v>150</v>
      </c>
      <c r="B69" s="1" t="s">
        <v>114</v>
      </c>
      <c r="C69">
        <v>16</v>
      </c>
      <c r="D69" s="16">
        <v>87.755399999999995</v>
      </c>
      <c r="E69">
        <v>513</v>
      </c>
      <c r="F69" s="16">
        <v>45018.520199999999</v>
      </c>
      <c r="G69" s="1" t="s">
        <v>32</v>
      </c>
      <c r="H69">
        <v>12</v>
      </c>
      <c r="I69">
        <v>9</v>
      </c>
      <c r="J69">
        <v>71</v>
      </c>
      <c r="K69">
        <v>9</v>
      </c>
      <c r="L69" s="1" t="s">
        <v>37</v>
      </c>
      <c r="M69" s="2">
        <v>9.1478000000000002</v>
      </c>
      <c r="N69" s="1" t="s">
        <v>33</v>
      </c>
      <c r="O69" s="1" t="s">
        <v>24</v>
      </c>
      <c r="P69">
        <v>10</v>
      </c>
      <c r="Q69">
        <v>198</v>
      </c>
      <c r="R69">
        <v>11</v>
      </c>
      <c r="S69" s="2">
        <v>7.0579000000000001</v>
      </c>
      <c r="T69" s="1" t="s">
        <v>57</v>
      </c>
      <c r="U69">
        <v>0.13195544431181483</v>
      </c>
      <c r="V69" s="1" t="s">
        <v>50</v>
      </c>
      <c r="W69" s="1" t="s">
        <v>35</v>
      </c>
      <c r="X69" s="2">
        <v>169.2718013847869</v>
      </c>
      <c r="Z69"/>
    </row>
    <row r="70" spans="1:26" x14ac:dyDescent="0.3">
      <c r="A70" s="16" t="s">
        <v>149</v>
      </c>
      <c r="B70" s="1" t="s">
        <v>115</v>
      </c>
      <c r="C70">
        <v>29</v>
      </c>
      <c r="D70" s="16">
        <v>37.931800000000003</v>
      </c>
      <c r="E70">
        <v>163</v>
      </c>
      <c r="F70" s="16">
        <v>6182.8833999999997</v>
      </c>
      <c r="G70" s="1" t="s">
        <v>21</v>
      </c>
      <c r="H70">
        <v>0</v>
      </c>
      <c r="I70">
        <v>8</v>
      </c>
      <c r="J70">
        <v>58</v>
      </c>
      <c r="K70">
        <v>8</v>
      </c>
      <c r="L70" s="1" t="s">
        <v>22</v>
      </c>
      <c r="M70" s="2">
        <v>1.1942999999999999</v>
      </c>
      <c r="N70" s="1" t="s">
        <v>54</v>
      </c>
      <c r="O70" s="1" t="s">
        <v>47</v>
      </c>
      <c r="P70">
        <v>2</v>
      </c>
      <c r="Q70">
        <v>375</v>
      </c>
      <c r="R70">
        <v>18</v>
      </c>
      <c r="S70" s="2">
        <v>97.113600000000005</v>
      </c>
      <c r="T70" s="1" t="s">
        <v>40</v>
      </c>
      <c r="U70">
        <v>1.9834678721741801</v>
      </c>
      <c r="V70" s="1" t="s">
        <v>41</v>
      </c>
      <c r="W70" s="1" t="s">
        <v>42</v>
      </c>
      <c r="X70" s="2">
        <v>299.70630311810316</v>
      </c>
      <c r="Z70"/>
    </row>
    <row r="71" spans="1:26" x14ac:dyDescent="0.3">
      <c r="A71" s="16" t="s">
        <v>150</v>
      </c>
      <c r="B71" s="1" t="s">
        <v>116</v>
      </c>
      <c r="C71">
        <v>62</v>
      </c>
      <c r="D71" s="16">
        <v>54.865499999999997</v>
      </c>
      <c r="E71">
        <v>511</v>
      </c>
      <c r="F71" s="16">
        <v>28036.270499999999</v>
      </c>
      <c r="G71" s="1" t="s">
        <v>21</v>
      </c>
      <c r="H71">
        <v>95</v>
      </c>
      <c r="I71">
        <v>1</v>
      </c>
      <c r="J71">
        <v>27</v>
      </c>
      <c r="K71">
        <v>3</v>
      </c>
      <c r="L71" s="1" t="s">
        <v>22</v>
      </c>
      <c r="M71" s="2">
        <v>9.7052999999999994</v>
      </c>
      <c r="N71" s="1" t="s">
        <v>46</v>
      </c>
      <c r="O71" s="1" t="s">
        <v>39</v>
      </c>
      <c r="P71">
        <v>9</v>
      </c>
      <c r="Q71">
        <v>862</v>
      </c>
      <c r="R71">
        <v>7</v>
      </c>
      <c r="S71" s="2">
        <v>77.627799999999993</v>
      </c>
      <c r="T71" s="1" t="s">
        <v>25</v>
      </c>
      <c r="U71">
        <v>1.3623879886491086</v>
      </c>
      <c r="V71" s="1" t="s">
        <v>34</v>
      </c>
      <c r="W71" s="1" t="s">
        <v>42</v>
      </c>
      <c r="X71" s="2">
        <v>207.66320620857562</v>
      </c>
      <c r="Z71"/>
    </row>
    <row r="72" spans="1:26" x14ac:dyDescent="0.3">
      <c r="A72" s="16" t="s">
        <v>149</v>
      </c>
      <c r="B72" s="1" t="s">
        <v>117</v>
      </c>
      <c r="C72">
        <v>90</v>
      </c>
      <c r="D72" s="16">
        <v>47.914499999999997</v>
      </c>
      <c r="E72">
        <v>32</v>
      </c>
      <c r="F72" s="16">
        <v>1533.2639999999999</v>
      </c>
      <c r="G72" s="1" t="s">
        <v>29</v>
      </c>
      <c r="H72">
        <v>10</v>
      </c>
      <c r="I72">
        <v>12</v>
      </c>
      <c r="J72">
        <v>22</v>
      </c>
      <c r="K72">
        <v>4</v>
      </c>
      <c r="L72" s="1" t="s">
        <v>22</v>
      </c>
      <c r="M72" s="2">
        <v>6.3156999999999996</v>
      </c>
      <c r="N72" s="1" t="s">
        <v>33</v>
      </c>
      <c r="O72" s="1" t="s">
        <v>47</v>
      </c>
      <c r="P72">
        <v>22</v>
      </c>
      <c r="Q72">
        <v>775</v>
      </c>
      <c r="R72">
        <v>16</v>
      </c>
      <c r="S72" s="2">
        <v>11.440799999999999</v>
      </c>
      <c r="T72" s="1" t="s">
        <v>57</v>
      </c>
      <c r="U72">
        <v>1.8305755986122314</v>
      </c>
      <c r="V72" s="1" t="s">
        <v>26</v>
      </c>
      <c r="W72" s="1" t="s">
        <v>35</v>
      </c>
      <c r="X72" s="2">
        <v>183.27289874871101</v>
      </c>
      <c r="Z72"/>
    </row>
    <row r="73" spans="1:26" x14ac:dyDescent="0.3">
      <c r="A73" s="16" t="s">
        <v>151</v>
      </c>
      <c r="B73" s="1" t="s">
        <v>118</v>
      </c>
      <c r="C73">
        <v>14</v>
      </c>
      <c r="D73" s="16">
        <v>6.3815</v>
      </c>
      <c r="E73">
        <v>637</v>
      </c>
      <c r="F73" s="16">
        <v>4065.0155</v>
      </c>
      <c r="G73" s="1" t="s">
        <v>29</v>
      </c>
      <c r="H73">
        <v>76</v>
      </c>
      <c r="I73">
        <v>2</v>
      </c>
      <c r="J73">
        <v>26</v>
      </c>
      <c r="K73">
        <v>6</v>
      </c>
      <c r="L73" s="1" t="s">
        <v>30</v>
      </c>
      <c r="M73" s="2">
        <v>9.2281999999999993</v>
      </c>
      <c r="N73" s="1" t="s">
        <v>54</v>
      </c>
      <c r="O73" s="1" t="s">
        <v>47</v>
      </c>
      <c r="P73">
        <v>2</v>
      </c>
      <c r="Q73">
        <v>258</v>
      </c>
      <c r="R73">
        <v>10</v>
      </c>
      <c r="S73" s="2">
        <v>30.6617</v>
      </c>
      <c r="T73" s="1" t="s">
        <v>25</v>
      </c>
      <c r="U73">
        <v>2.0787506078749689</v>
      </c>
      <c r="V73" s="1" t="s">
        <v>26</v>
      </c>
      <c r="W73" s="1" t="s">
        <v>42</v>
      </c>
      <c r="X73" s="2">
        <v>405.16706788885585</v>
      </c>
      <c r="Z73"/>
    </row>
    <row r="74" spans="1:26" x14ac:dyDescent="0.3">
      <c r="A74" s="16" t="s">
        <v>151</v>
      </c>
      <c r="B74" s="1" t="s">
        <v>119</v>
      </c>
      <c r="C74">
        <v>88</v>
      </c>
      <c r="D74" s="16">
        <v>90.204400000000007</v>
      </c>
      <c r="E74">
        <v>478</v>
      </c>
      <c r="F74" s="16">
        <v>43117.703200000004</v>
      </c>
      <c r="G74" s="1" t="s">
        <v>21</v>
      </c>
      <c r="H74">
        <v>57</v>
      </c>
      <c r="I74">
        <v>29</v>
      </c>
      <c r="J74">
        <v>77</v>
      </c>
      <c r="K74">
        <v>9</v>
      </c>
      <c r="L74" s="1" t="s">
        <v>30</v>
      </c>
      <c r="M74" s="2">
        <v>6.5995999999999997</v>
      </c>
      <c r="N74" s="1" t="s">
        <v>33</v>
      </c>
      <c r="O74" s="1" t="s">
        <v>47</v>
      </c>
      <c r="P74">
        <v>21</v>
      </c>
      <c r="Q74">
        <v>152</v>
      </c>
      <c r="R74">
        <v>11</v>
      </c>
      <c r="S74" s="2">
        <v>55.7605</v>
      </c>
      <c r="T74" s="1" t="s">
        <v>25</v>
      </c>
      <c r="U74">
        <v>3.2133296074383089</v>
      </c>
      <c r="V74" s="1" t="s">
        <v>41</v>
      </c>
      <c r="W74" s="1" t="s">
        <v>27</v>
      </c>
      <c r="X74" s="2">
        <v>677.9445698461833</v>
      </c>
      <c r="Z74"/>
    </row>
    <row r="75" spans="1:26" x14ac:dyDescent="0.3">
      <c r="A75" s="16" t="s">
        <v>151</v>
      </c>
      <c r="B75" s="1" t="s">
        <v>120</v>
      </c>
      <c r="C75">
        <v>41</v>
      </c>
      <c r="D75" s="16">
        <v>83.850999999999999</v>
      </c>
      <c r="E75">
        <v>375</v>
      </c>
      <c r="F75" s="16">
        <v>31444.125</v>
      </c>
      <c r="G75" s="1" t="s">
        <v>49</v>
      </c>
      <c r="H75">
        <v>17</v>
      </c>
      <c r="I75">
        <v>25</v>
      </c>
      <c r="J75">
        <v>66</v>
      </c>
      <c r="K75">
        <v>5</v>
      </c>
      <c r="L75" s="1" t="s">
        <v>22</v>
      </c>
      <c r="M75" s="2">
        <v>1.5128999999999999</v>
      </c>
      <c r="N75" s="1" t="s">
        <v>46</v>
      </c>
      <c r="O75" s="1" t="s">
        <v>55</v>
      </c>
      <c r="P75">
        <v>13</v>
      </c>
      <c r="Q75">
        <v>444</v>
      </c>
      <c r="R75">
        <v>4</v>
      </c>
      <c r="S75" s="2">
        <v>46.870199999999997</v>
      </c>
      <c r="T75" s="1" t="s">
        <v>40</v>
      </c>
      <c r="U75">
        <v>4.6205460645137064</v>
      </c>
      <c r="V75" s="1" t="s">
        <v>26</v>
      </c>
      <c r="W75" s="1" t="s">
        <v>42</v>
      </c>
      <c r="X75" s="2">
        <v>866.4728001296578</v>
      </c>
      <c r="Z75"/>
    </row>
    <row r="76" spans="1:26" x14ac:dyDescent="0.3">
      <c r="A76" s="16" t="s">
        <v>149</v>
      </c>
      <c r="B76" s="1" t="s">
        <v>121</v>
      </c>
      <c r="C76">
        <v>64</v>
      </c>
      <c r="D76" s="16">
        <v>3.17</v>
      </c>
      <c r="E76">
        <v>904</v>
      </c>
      <c r="F76" s="16">
        <v>2865.68</v>
      </c>
      <c r="G76" s="1" t="s">
        <v>29</v>
      </c>
      <c r="H76">
        <v>41</v>
      </c>
      <c r="I76">
        <v>6</v>
      </c>
      <c r="J76">
        <v>1</v>
      </c>
      <c r="K76">
        <v>5</v>
      </c>
      <c r="L76" s="1" t="s">
        <v>30</v>
      </c>
      <c r="M76" s="2">
        <v>5.2377000000000002</v>
      </c>
      <c r="N76" s="1" t="s">
        <v>46</v>
      </c>
      <c r="O76" s="1" t="s">
        <v>44</v>
      </c>
      <c r="P76">
        <v>1</v>
      </c>
      <c r="Q76">
        <v>919</v>
      </c>
      <c r="R76">
        <v>9</v>
      </c>
      <c r="S76" s="2">
        <v>80.5809</v>
      </c>
      <c r="T76" s="1" t="s">
        <v>40</v>
      </c>
      <c r="U76">
        <v>0.39661272410993542</v>
      </c>
      <c r="V76" s="1" t="s">
        <v>41</v>
      </c>
      <c r="W76" s="1" t="s">
        <v>42</v>
      </c>
      <c r="X76" s="2">
        <v>341.55265678322337</v>
      </c>
      <c r="Z76"/>
    </row>
    <row r="77" spans="1:26" x14ac:dyDescent="0.3">
      <c r="A77" s="16" t="s">
        <v>150</v>
      </c>
      <c r="B77" s="1" t="s">
        <v>122</v>
      </c>
      <c r="C77">
        <v>29</v>
      </c>
      <c r="D77" s="16">
        <v>92.996899999999997</v>
      </c>
      <c r="E77">
        <v>106</v>
      </c>
      <c r="F77" s="16">
        <v>9857.6713999999993</v>
      </c>
      <c r="G77" s="1" t="s">
        <v>21</v>
      </c>
      <c r="H77">
        <v>16</v>
      </c>
      <c r="I77">
        <v>20</v>
      </c>
      <c r="J77">
        <v>56</v>
      </c>
      <c r="K77">
        <v>10</v>
      </c>
      <c r="L77" s="1" t="s">
        <v>37</v>
      </c>
      <c r="M77" s="2">
        <v>2.4739</v>
      </c>
      <c r="N77" s="1" t="s">
        <v>33</v>
      </c>
      <c r="O77" s="1" t="s">
        <v>55</v>
      </c>
      <c r="P77">
        <v>25</v>
      </c>
      <c r="Q77">
        <v>759</v>
      </c>
      <c r="R77">
        <v>11</v>
      </c>
      <c r="S77" s="2">
        <v>48.064799999999998</v>
      </c>
      <c r="T77" s="1" t="s">
        <v>57</v>
      </c>
      <c r="U77">
        <v>2.0300690886687516</v>
      </c>
      <c r="V77" s="1" t="s">
        <v>34</v>
      </c>
      <c r="W77" s="1" t="s">
        <v>35</v>
      </c>
      <c r="X77" s="2">
        <v>873.12964801765145</v>
      </c>
      <c r="Z77"/>
    </row>
    <row r="78" spans="1:26" x14ac:dyDescent="0.3">
      <c r="A78" s="16" t="s">
        <v>149</v>
      </c>
      <c r="B78" s="1" t="s">
        <v>123</v>
      </c>
      <c r="C78">
        <v>23</v>
      </c>
      <c r="D78" s="16">
        <v>69.108800000000002</v>
      </c>
      <c r="E78">
        <v>241</v>
      </c>
      <c r="F78" s="16">
        <v>16655.220799999999</v>
      </c>
      <c r="G78" s="1" t="s">
        <v>49</v>
      </c>
      <c r="H78">
        <v>38</v>
      </c>
      <c r="I78">
        <v>1</v>
      </c>
      <c r="J78">
        <v>22</v>
      </c>
      <c r="K78">
        <v>10</v>
      </c>
      <c r="L78" s="1" t="s">
        <v>30</v>
      </c>
      <c r="M78" s="2">
        <v>7.0545</v>
      </c>
      <c r="N78" s="1" t="s">
        <v>54</v>
      </c>
      <c r="O78" s="1" t="s">
        <v>47</v>
      </c>
      <c r="P78">
        <v>25</v>
      </c>
      <c r="Q78">
        <v>985</v>
      </c>
      <c r="R78">
        <v>24</v>
      </c>
      <c r="S78" s="2">
        <v>64.323599999999999</v>
      </c>
      <c r="T78" s="1" t="s">
        <v>25</v>
      </c>
      <c r="U78">
        <v>2.1800374515822165</v>
      </c>
      <c r="V78" s="1" t="s">
        <v>41</v>
      </c>
      <c r="W78" s="1" t="s">
        <v>42</v>
      </c>
      <c r="X78" s="2">
        <v>997.4134501331946</v>
      </c>
      <c r="Z78"/>
    </row>
    <row r="79" spans="1:26" x14ac:dyDescent="0.3">
      <c r="A79" s="16" t="s">
        <v>149</v>
      </c>
      <c r="B79" s="1" t="s">
        <v>124</v>
      </c>
      <c r="C79">
        <v>14</v>
      </c>
      <c r="D79" s="16">
        <v>57.4497</v>
      </c>
      <c r="E79">
        <v>359</v>
      </c>
      <c r="F79" s="16">
        <v>20624.442299999999</v>
      </c>
      <c r="G79" s="1" t="s">
        <v>32</v>
      </c>
      <c r="H79">
        <v>96</v>
      </c>
      <c r="I79">
        <v>28</v>
      </c>
      <c r="J79">
        <v>57</v>
      </c>
      <c r="K79">
        <v>4</v>
      </c>
      <c r="L79" s="1" t="s">
        <v>22</v>
      </c>
      <c r="M79" s="2">
        <v>6.7808999999999999</v>
      </c>
      <c r="N79" s="1" t="s">
        <v>33</v>
      </c>
      <c r="O79" s="1" t="s">
        <v>39</v>
      </c>
      <c r="P79">
        <v>26</v>
      </c>
      <c r="Q79">
        <v>334</v>
      </c>
      <c r="R79">
        <v>5</v>
      </c>
      <c r="S79" s="2">
        <v>42.952399999999997</v>
      </c>
      <c r="T79" s="1" t="s">
        <v>57</v>
      </c>
      <c r="U79">
        <v>3.0551418183075478</v>
      </c>
      <c r="V79" s="1" t="s">
        <v>26</v>
      </c>
      <c r="W79" s="1" t="s">
        <v>27</v>
      </c>
      <c r="X79" s="2">
        <v>852.56809891984994</v>
      </c>
      <c r="Z79"/>
    </row>
    <row r="80" spans="1:26" x14ac:dyDescent="0.3">
      <c r="A80" s="16" t="s">
        <v>149</v>
      </c>
      <c r="B80" s="1" t="s">
        <v>125</v>
      </c>
      <c r="C80">
        <v>50</v>
      </c>
      <c r="D80" s="16">
        <v>6.3068999999999997</v>
      </c>
      <c r="E80">
        <v>946</v>
      </c>
      <c r="F80" s="16">
        <v>5966.3274000000001</v>
      </c>
      <c r="G80" s="1" t="s">
        <v>32</v>
      </c>
      <c r="H80">
        <v>5</v>
      </c>
      <c r="I80">
        <v>4</v>
      </c>
      <c r="J80">
        <v>51</v>
      </c>
      <c r="K80">
        <v>5</v>
      </c>
      <c r="L80" s="1" t="s">
        <v>22</v>
      </c>
      <c r="M80" s="2">
        <v>8.4670000000000005</v>
      </c>
      <c r="N80" s="1" t="s">
        <v>38</v>
      </c>
      <c r="O80" s="1" t="s">
        <v>24</v>
      </c>
      <c r="P80">
        <v>25</v>
      </c>
      <c r="Q80">
        <v>858</v>
      </c>
      <c r="R80">
        <v>21</v>
      </c>
      <c r="S80" s="2">
        <v>71.126499999999993</v>
      </c>
      <c r="T80" s="1" t="s">
        <v>25</v>
      </c>
      <c r="U80">
        <v>4.0968813324704518</v>
      </c>
      <c r="V80" s="1" t="s">
        <v>50</v>
      </c>
      <c r="W80" s="1" t="s">
        <v>35</v>
      </c>
      <c r="X80" s="2">
        <v>323.59220343132216</v>
      </c>
      <c r="Z80"/>
    </row>
    <row r="81" spans="1:26" x14ac:dyDescent="0.3">
      <c r="A81" s="16" t="s">
        <v>149</v>
      </c>
      <c r="B81" s="1" t="s">
        <v>126</v>
      </c>
      <c r="C81">
        <v>56</v>
      </c>
      <c r="D81" s="16">
        <v>57.057000000000002</v>
      </c>
      <c r="E81">
        <v>198</v>
      </c>
      <c r="F81" s="16">
        <v>11297.286</v>
      </c>
      <c r="G81" s="1" t="s">
        <v>21</v>
      </c>
      <c r="H81">
        <v>31</v>
      </c>
      <c r="I81">
        <v>25</v>
      </c>
      <c r="J81">
        <v>20</v>
      </c>
      <c r="K81">
        <v>1</v>
      </c>
      <c r="L81" s="1" t="s">
        <v>22</v>
      </c>
      <c r="M81" s="2">
        <v>6.4962999999999997</v>
      </c>
      <c r="N81" s="1" t="s">
        <v>23</v>
      </c>
      <c r="O81" s="1" t="s">
        <v>47</v>
      </c>
      <c r="P81">
        <v>5</v>
      </c>
      <c r="Q81">
        <v>228</v>
      </c>
      <c r="R81">
        <v>12</v>
      </c>
      <c r="S81" s="2">
        <v>57.870899999999999</v>
      </c>
      <c r="T81" s="1" t="s">
        <v>25</v>
      </c>
      <c r="U81">
        <v>0.16587162748060824</v>
      </c>
      <c r="V81" s="1" t="s">
        <v>34</v>
      </c>
      <c r="W81" s="1" t="s">
        <v>35</v>
      </c>
      <c r="X81" s="2">
        <v>351.50421933503867</v>
      </c>
      <c r="Z81"/>
    </row>
    <row r="82" spans="1:26" x14ac:dyDescent="0.3">
      <c r="A82" s="16" t="s">
        <v>150</v>
      </c>
      <c r="B82" s="1" t="s">
        <v>127</v>
      </c>
      <c r="C82">
        <v>75</v>
      </c>
      <c r="D82" s="16">
        <v>91.128299999999996</v>
      </c>
      <c r="E82">
        <v>872</v>
      </c>
      <c r="F82" s="16">
        <v>79463.877600000007</v>
      </c>
      <c r="G82" s="1" t="s">
        <v>32</v>
      </c>
      <c r="H82">
        <v>39</v>
      </c>
      <c r="I82">
        <v>14</v>
      </c>
      <c r="J82">
        <v>41</v>
      </c>
      <c r="K82">
        <v>2</v>
      </c>
      <c r="L82" s="1" t="s">
        <v>37</v>
      </c>
      <c r="M82" s="2">
        <v>2.8332000000000002</v>
      </c>
      <c r="N82" s="1" t="s">
        <v>23</v>
      </c>
      <c r="O82" s="1" t="s">
        <v>55</v>
      </c>
      <c r="P82">
        <v>8</v>
      </c>
      <c r="Q82">
        <v>202</v>
      </c>
      <c r="R82">
        <v>5</v>
      </c>
      <c r="S82" s="2">
        <v>76.961200000000005</v>
      </c>
      <c r="T82" s="1" t="s">
        <v>40</v>
      </c>
      <c r="U82">
        <v>2.8496621985053308</v>
      </c>
      <c r="V82" s="1" t="s">
        <v>50</v>
      </c>
      <c r="W82" s="1" t="s">
        <v>27</v>
      </c>
      <c r="X82" s="2">
        <v>787.77985049434449</v>
      </c>
      <c r="Z82"/>
    </row>
    <row r="83" spans="1:26" x14ac:dyDescent="0.3">
      <c r="A83" s="16" t="s">
        <v>149</v>
      </c>
      <c r="B83" s="1" t="s">
        <v>128</v>
      </c>
      <c r="C83">
        <v>9</v>
      </c>
      <c r="D83" s="16">
        <v>72.819199999999995</v>
      </c>
      <c r="E83">
        <v>774</v>
      </c>
      <c r="F83" s="16">
        <v>56362.060799999999</v>
      </c>
      <c r="G83" s="1" t="s">
        <v>32</v>
      </c>
      <c r="H83">
        <v>48</v>
      </c>
      <c r="I83">
        <v>6</v>
      </c>
      <c r="J83">
        <v>8</v>
      </c>
      <c r="K83">
        <v>5</v>
      </c>
      <c r="L83" s="1" t="s">
        <v>22</v>
      </c>
      <c r="M83" s="2">
        <v>4.0663</v>
      </c>
      <c r="N83" s="1" t="s">
        <v>23</v>
      </c>
      <c r="O83" s="1" t="s">
        <v>44</v>
      </c>
      <c r="P83">
        <v>28</v>
      </c>
      <c r="Q83">
        <v>698</v>
      </c>
      <c r="R83">
        <v>1</v>
      </c>
      <c r="S83" s="2">
        <v>19.7896</v>
      </c>
      <c r="T83" s="1" t="s">
        <v>25</v>
      </c>
      <c r="U83">
        <v>2.5475471215487118</v>
      </c>
      <c r="V83" s="1" t="s">
        <v>41</v>
      </c>
      <c r="W83" s="1" t="s">
        <v>27</v>
      </c>
      <c r="X83" s="2">
        <v>276.77833594679885</v>
      </c>
      <c r="Z83"/>
    </row>
    <row r="84" spans="1:26" x14ac:dyDescent="0.3">
      <c r="A84" s="16" t="s">
        <v>150</v>
      </c>
      <c r="B84" s="1" t="s">
        <v>129</v>
      </c>
      <c r="C84">
        <v>13</v>
      </c>
      <c r="D84" s="16">
        <v>17.0349</v>
      </c>
      <c r="E84">
        <v>336</v>
      </c>
      <c r="F84" s="16">
        <v>5723.7263999999996</v>
      </c>
      <c r="G84" s="1" t="s">
        <v>32</v>
      </c>
      <c r="H84">
        <v>42</v>
      </c>
      <c r="I84">
        <v>19</v>
      </c>
      <c r="J84">
        <v>72</v>
      </c>
      <c r="K84">
        <v>1</v>
      </c>
      <c r="L84" s="1" t="s">
        <v>30</v>
      </c>
      <c r="M84" s="2">
        <v>4.7081999999999997</v>
      </c>
      <c r="N84" s="1" t="s">
        <v>54</v>
      </c>
      <c r="O84" s="1" t="s">
        <v>24</v>
      </c>
      <c r="P84">
        <v>6</v>
      </c>
      <c r="Q84">
        <v>955</v>
      </c>
      <c r="R84">
        <v>26</v>
      </c>
      <c r="S84" s="2">
        <v>4.4653</v>
      </c>
      <c r="T84" s="1" t="s">
        <v>25</v>
      </c>
      <c r="U84">
        <v>4.1378770486223573</v>
      </c>
      <c r="V84" s="1" t="s">
        <v>26</v>
      </c>
      <c r="W84" s="1" t="s">
        <v>35</v>
      </c>
      <c r="X84" s="2">
        <v>589.97855562804068</v>
      </c>
      <c r="Z84"/>
    </row>
    <row r="85" spans="1:26" x14ac:dyDescent="0.3">
      <c r="A85" s="16" t="s">
        <v>149</v>
      </c>
      <c r="B85" s="1" t="s">
        <v>130</v>
      </c>
      <c r="C85">
        <v>82</v>
      </c>
      <c r="D85" s="16">
        <v>68.911199999999994</v>
      </c>
      <c r="E85">
        <v>663</v>
      </c>
      <c r="F85" s="16">
        <v>45688.125599999999</v>
      </c>
      <c r="G85" s="1" t="s">
        <v>32</v>
      </c>
      <c r="H85">
        <v>65</v>
      </c>
      <c r="I85">
        <v>24</v>
      </c>
      <c r="J85">
        <v>7</v>
      </c>
      <c r="K85">
        <v>8</v>
      </c>
      <c r="L85" s="1" t="s">
        <v>22</v>
      </c>
      <c r="M85" s="2">
        <v>4.9497999999999998</v>
      </c>
      <c r="N85" s="1" t="s">
        <v>33</v>
      </c>
      <c r="O85" s="1" t="s">
        <v>47</v>
      </c>
      <c r="P85">
        <v>20</v>
      </c>
      <c r="Q85">
        <v>443</v>
      </c>
      <c r="R85">
        <v>5</v>
      </c>
      <c r="S85" s="2">
        <v>97.730599999999995</v>
      </c>
      <c r="T85" s="1" t="s">
        <v>40</v>
      </c>
      <c r="U85">
        <v>0.77300613406724783</v>
      </c>
      <c r="V85" s="1" t="s">
        <v>26</v>
      </c>
      <c r="W85" s="1" t="s">
        <v>42</v>
      </c>
      <c r="X85" s="2">
        <v>682.97101822609329</v>
      </c>
      <c r="Z85"/>
    </row>
    <row r="86" spans="1:26" x14ac:dyDescent="0.3">
      <c r="A86" s="16" t="s">
        <v>149</v>
      </c>
      <c r="B86" s="1" t="s">
        <v>131</v>
      </c>
      <c r="C86">
        <v>99</v>
      </c>
      <c r="D86" s="16">
        <v>89.104399999999998</v>
      </c>
      <c r="E86">
        <v>618</v>
      </c>
      <c r="F86" s="16">
        <v>55066.519200000002</v>
      </c>
      <c r="G86" s="1" t="s">
        <v>32</v>
      </c>
      <c r="H86">
        <v>73</v>
      </c>
      <c r="I86">
        <v>26</v>
      </c>
      <c r="J86">
        <v>80</v>
      </c>
      <c r="K86">
        <v>10</v>
      </c>
      <c r="L86" s="1" t="s">
        <v>30</v>
      </c>
      <c r="M86" s="2">
        <v>8.3816000000000006</v>
      </c>
      <c r="N86" s="1" t="s">
        <v>38</v>
      </c>
      <c r="O86" s="1" t="s">
        <v>55</v>
      </c>
      <c r="P86">
        <v>24</v>
      </c>
      <c r="Q86">
        <v>589</v>
      </c>
      <c r="R86">
        <v>22</v>
      </c>
      <c r="S86" s="2">
        <v>33.808599999999998</v>
      </c>
      <c r="T86" s="1" t="s">
        <v>57</v>
      </c>
      <c r="U86">
        <v>4.8434565771180411</v>
      </c>
      <c r="V86" s="1" t="s">
        <v>34</v>
      </c>
      <c r="W86" s="1" t="s">
        <v>27</v>
      </c>
      <c r="X86" s="2">
        <v>465.45700596368795</v>
      </c>
      <c r="Z86"/>
    </row>
    <row r="87" spans="1:26" x14ac:dyDescent="0.3">
      <c r="A87" s="16" t="s">
        <v>151</v>
      </c>
      <c r="B87" s="1" t="s">
        <v>132</v>
      </c>
      <c r="C87">
        <v>83</v>
      </c>
      <c r="D87" s="16">
        <v>76.962999999999994</v>
      </c>
      <c r="E87">
        <v>25</v>
      </c>
      <c r="F87" s="16">
        <v>1924.075</v>
      </c>
      <c r="G87" s="1" t="s">
        <v>29</v>
      </c>
      <c r="H87">
        <v>15</v>
      </c>
      <c r="I87">
        <v>18</v>
      </c>
      <c r="J87">
        <v>66</v>
      </c>
      <c r="K87">
        <v>2</v>
      </c>
      <c r="L87" s="1" t="s">
        <v>37</v>
      </c>
      <c r="M87" s="2">
        <v>8.2492000000000001</v>
      </c>
      <c r="N87" s="1" t="s">
        <v>38</v>
      </c>
      <c r="O87" s="1" t="s">
        <v>55</v>
      </c>
      <c r="P87">
        <v>4</v>
      </c>
      <c r="Q87">
        <v>211</v>
      </c>
      <c r="R87">
        <v>2</v>
      </c>
      <c r="S87" s="2">
        <v>69.929299999999998</v>
      </c>
      <c r="T87" s="1" t="s">
        <v>40</v>
      </c>
      <c r="U87">
        <v>1.3744289997457582</v>
      </c>
      <c r="V87" s="1" t="s">
        <v>26</v>
      </c>
      <c r="W87" s="1" t="s">
        <v>27</v>
      </c>
      <c r="X87" s="2">
        <v>842.68683000464148</v>
      </c>
      <c r="Z87"/>
    </row>
    <row r="88" spans="1:26" x14ac:dyDescent="0.3">
      <c r="A88" s="16" t="s">
        <v>150</v>
      </c>
      <c r="B88" s="1" t="s">
        <v>133</v>
      </c>
      <c r="C88">
        <v>18</v>
      </c>
      <c r="D88" s="16">
        <v>19.998200000000001</v>
      </c>
      <c r="E88">
        <v>223</v>
      </c>
      <c r="F88" s="16">
        <v>4459.5986000000003</v>
      </c>
      <c r="G88" s="1" t="s">
        <v>32</v>
      </c>
      <c r="H88">
        <v>32</v>
      </c>
      <c r="I88">
        <v>14</v>
      </c>
      <c r="J88">
        <v>22</v>
      </c>
      <c r="K88">
        <v>6</v>
      </c>
      <c r="L88" s="1" t="s">
        <v>22</v>
      </c>
      <c r="M88" s="2">
        <v>1.4542999999999999</v>
      </c>
      <c r="N88" s="1" t="s">
        <v>33</v>
      </c>
      <c r="O88" s="1" t="s">
        <v>24</v>
      </c>
      <c r="P88">
        <v>4</v>
      </c>
      <c r="Q88">
        <v>569</v>
      </c>
      <c r="R88">
        <v>18</v>
      </c>
      <c r="S88" s="2">
        <v>74.608999999999995</v>
      </c>
      <c r="T88" s="1" t="s">
        <v>57</v>
      </c>
      <c r="U88">
        <v>2.0515129307662465</v>
      </c>
      <c r="V88" s="1" t="s">
        <v>41</v>
      </c>
      <c r="W88" s="1" t="s">
        <v>42</v>
      </c>
      <c r="X88" s="2">
        <v>264.25488983586649</v>
      </c>
      <c r="Z88"/>
    </row>
    <row r="89" spans="1:26" x14ac:dyDescent="0.3">
      <c r="A89" s="16" t="s">
        <v>149</v>
      </c>
      <c r="B89" s="1" t="s">
        <v>134</v>
      </c>
      <c r="C89">
        <v>24</v>
      </c>
      <c r="D89" s="16">
        <v>80.414000000000001</v>
      </c>
      <c r="E89">
        <v>79</v>
      </c>
      <c r="F89" s="16">
        <v>6352.7060000000001</v>
      </c>
      <c r="G89" s="1" t="s">
        <v>49</v>
      </c>
      <c r="H89">
        <v>5</v>
      </c>
      <c r="I89">
        <v>7</v>
      </c>
      <c r="J89">
        <v>55</v>
      </c>
      <c r="K89">
        <v>10</v>
      </c>
      <c r="L89" s="1" t="s">
        <v>30</v>
      </c>
      <c r="M89" s="2">
        <v>6.5758000000000001</v>
      </c>
      <c r="N89" s="1" t="s">
        <v>23</v>
      </c>
      <c r="O89" s="1" t="s">
        <v>55</v>
      </c>
      <c r="P89">
        <v>27</v>
      </c>
      <c r="Q89">
        <v>523</v>
      </c>
      <c r="R89">
        <v>17</v>
      </c>
      <c r="S89" s="2">
        <v>28.696999999999999</v>
      </c>
      <c r="T89" s="1" t="s">
        <v>40</v>
      </c>
      <c r="U89">
        <v>3.6937377878392756</v>
      </c>
      <c r="V89" s="1" t="s">
        <v>50</v>
      </c>
      <c r="W89" s="1" t="s">
        <v>27</v>
      </c>
      <c r="X89" s="2">
        <v>879.3592177349243</v>
      </c>
      <c r="Z89"/>
    </row>
    <row r="90" spans="1:26" x14ac:dyDescent="0.3">
      <c r="A90" s="16" t="s">
        <v>151</v>
      </c>
      <c r="B90" s="1" t="s">
        <v>135</v>
      </c>
      <c r="C90">
        <v>58</v>
      </c>
      <c r="D90" s="16">
        <v>75.270399999999995</v>
      </c>
      <c r="E90">
        <v>737</v>
      </c>
      <c r="F90" s="16">
        <v>55474.284800000001</v>
      </c>
      <c r="G90" s="1" t="s">
        <v>49</v>
      </c>
      <c r="H90">
        <v>60</v>
      </c>
      <c r="I90">
        <v>18</v>
      </c>
      <c r="J90">
        <v>85</v>
      </c>
      <c r="K90">
        <v>7</v>
      </c>
      <c r="L90" s="1" t="s">
        <v>30</v>
      </c>
      <c r="M90" s="2">
        <v>3.8012999999999999</v>
      </c>
      <c r="N90" s="1" t="s">
        <v>54</v>
      </c>
      <c r="O90" s="1" t="s">
        <v>24</v>
      </c>
      <c r="P90">
        <v>21</v>
      </c>
      <c r="Q90">
        <v>953</v>
      </c>
      <c r="R90">
        <v>11</v>
      </c>
      <c r="S90" s="2">
        <v>68.184899999999999</v>
      </c>
      <c r="T90" s="1" t="s">
        <v>25</v>
      </c>
      <c r="U90">
        <v>0.722204401882931</v>
      </c>
      <c r="V90" s="1" t="s">
        <v>50</v>
      </c>
      <c r="W90" s="1" t="s">
        <v>42</v>
      </c>
      <c r="X90" s="2">
        <v>103.91624796070495</v>
      </c>
      <c r="Z90"/>
    </row>
    <row r="91" spans="1:26" x14ac:dyDescent="0.3">
      <c r="A91" s="16" t="s">
        <v>151</v>
      </c>
      <c r="B91" s="1" t="s">
        <v>136</v>
      </c>
      <c r="C91">
        <v>10</v>
      </c>
      <c r="D91" s="16">
        <v>97.760099999999994</v>
      </c>
      <c r="E91">
        <v>134</v>
      </c>
      <c r="F91" s="16">
        <v>13099.8534</v>
      </c>
      <c r="G91" s="1" t="s">
        <v>32</v>
      </c>
      <c r="H91">
        <v>90</v>
      </c>
      <c r="I91">
        <v>1</v>
      </c>
      <c r="J91">
        <v>27</v>
      </c>
      <c r="K91">
        <v>8</v>
      </c>
      <c r="L91" s="1" t="s">
        <v>22</v>
      </c>
      <c r="M91" s="2">
        <v>9.9298000000000002</v>
      </c>
      <c r="N91" s="1" t="s">
        <v>33</v>
      </c>
      <c r="O91" s="1" t="s">
        <v>39</v>
      </c>
      <c r="P91">
        <v>23</v>
      </c>
      <c r="Q91">
        <v>370</v>
      </c>
      <c r="R91">
        <v>11</v>
      </c>
      <c r="S91" s="2">
        <v>46.603900000000003</v>
      </c>
      <c r="T91" s="1" t="s">
        <v>25</v>
      </c>
      <c r="U91">
        <v>1.9076657339590746</v>
      </c>
      <c r="V91" s="1" t="s">
        <v>41</v>
      </c>
      <c r="W91" s="1" t="s">
        <v>27</v>
      </c>
      <c r="X91" s="2">
        <v>517.4999739290605</v>
      </c>
      <c r="Z91"/>
    </row>
    <row r="92" spans="1:26" x14ac:dyDescent="0.3">
      <c r="A92" s="16" t="s">
        <v>150</v>
      </c>
      <c r="B92" s="1" t="s">
        <v>137</v>
      </c>
      <c r="C92">
        <v>56</v>
      </c>
      <c r="D92" s="16">
        <v>13.8819</v>
      </c>
      <c r="E92">
        <v>320</v>
      </c>
      <c r="F92" s="16">
        <v>4442.2079999999996</v>
      </c>
      <c r="G92" s="1" t="s">
        <v>21</v>
      </c>
      <c r="H92">
        <v>66</v>
      </c>
      <c r="I92">
        <v>18</v>
      </c>
      <c r="J92">
        <v>96</v>
      </c>
      <c r="K92">
        <v>7</v>
      </c>
      <c r="L92" s="1" t="s">
        <v>22</v>
      </c>
      <c r="M92" s="2">
        <v>7.6744000000000003</v>
      </c>
      <c r="N92" s="1" t="s">
        <v>23</v>
      </c>
      <c r="O92" s="1" t="s">
        <v>47</v>
      </c>
      <c r="P92">
        <v>8</v>
      </c>
      <c r="Q92">
        <v>585</v>
      </c>
      <c r="R92">
        <v>8</v>
      </c>
      <c r="S92" s="2">
        <v>85.676000000000002</v>
      </c>
      <c r="T92" s="1" t="s">
        <v>57</v>
      </c>
      <c r="U92">
        <v>1.2193822244013885</v>
      </c>
      <c r="V92" s="1" t="s">
        <v>41</v>
      </c>
      <c r="W92" s="1" t="s">
        <v>27</v>
      </c>
      <c r="X92" s="2">
        <v>990.07847250581119</v>
      </c>
      <c r="Z92"/>
    </row>
    <row r="93" spans="1:26" x14ac:dyDescent="0.3">
      <c r="A93" s="16" t="s">
        <v>151</v>
      </c>
      <c r="B93" s="1" t="s">
        <v>138</v>
      </c>
      <c r="C93">
        <v>90</v>
      </c>
      <c r="D93" s="16">
        <v>62.112000000000002</v>
      </c>
      <c r="E93">
        <v>916</v>
      </c>
      <c r="F93" s="16">
        <v>56894.591999999997</v>
      </c>
      <c r="G93" s="1" t="s">
        <v>49</v>
      </c>
      <c r="H93">
        <v>98</v>
      </c>
      <c r="I93">
        <v>22</v>
      </c>
      <c r="J93">
        <v>85</v>
      </c>
      <c r="K93">
        <v>7</v>
      </c>
      <c r="L93" s="1" t="s">
        <v>22</v>
      </c>
      <c r="M93" s="2">
        <v>7.4714999999999998</v>
      </c>
      <c r="N93" s="1" t="s">
        <v>46</v>
      </c>
      <c r="O93" s="1" t="s">
        <v>44</v>
      </c>
      <c r="P93">
        <v>5</v>
      </c>
      <c r="Q93">
        <v>207</v>
      </c>
      <c r="R93">
        <v>28</v>
      </c>
      <c r="S93" s="2">
        <v>39.7729</v>
      </c>
      <c r="T93" s="1" t="s">
        <v>25</v>
      </c>
      <c r="U93">
        <v>0.62600185820939458</v>
      </c>
      <c r="V93" s="1" t="s">
        <v>41</v>
      </c>
      <c r="W93" s="1" t="s">
        <v>27</v>
      </c>
      <c r="X93" s="2">
        <v>996.77831495062378</v>
      </c>
      <c r="Z93"/>
    </row>
    <row r="94" spans="1:26" x14ac:dyDescent="0.3">
      <c r="A94" s="16" t="s">
        <v>151</v>
      </c>
      <c r="B94" s="1" t="s">
        <v>139</v>
      </c>
      <c r="C94">
        <v>44</v>
      </c>
      <c r="D94" s="16">
        <v>47.714199999999998</v>
      </c>
      <c r="E94">
        <v>276</v>
      </c>
      <c r="F94" s="16">
        <v>13169.119199999999</v>
      </c>
      <c r="G94" s="1" t="s">
        <v>49</v>
      </c>
      <c r="H94">
        <v>90</v>
      </c>
      <c r="I94">
        <v>25</v>
      </c>
      <c r="J94">
        <v>10</v>
      </c>
      <c r="K94">
        <v>8</v>
      </c>
      <c r="L94" s="1" t="s">
        <v>22</v>
      </c>
      <c r="M94" s="2">
        <v>4.4695</v>
      </c>
      <c r="N94" s="1" t="s">
        <v>54</v>
      </c>
      <c r="O94" s="1" t="s">
        <v>24</v>
      </c>
      <c r="P94">
        <v>4</v>
      </c>
      <c r="Q94">
        <v>671</v>
      </c>
      <c r="R94">
        <v>29</v>
      </c>
      <c r="S94" s="2">
        <v>62.612699999999997</v>
      </c>
      <c r="T94" s="1" t="s">
        <v>57</v>
      </c>
      <c r="U94">
        <v>0.33343182522473924</v>
      </c>
      <c r="V94" s="1" t="s">
        <v>41</v>
      </c>
      <c r="W94" s="1" t="s">
        <v>27</v>
      </c>
      <c r="X94" s="2">
        <v>230.09278253676294</v>
      </c>
      <c r="Z94"/>
    </row>
    <row r="95" spans="1:26" x14ac:dyDescent="0.3">
      <c r="A95" s="16" t="s">
        <v>149</v>
      </c>
      <c r="B95" s="1" t="s">
        <v>140</v>
      </c>
      <c r="C95">
        <v>88</v>
      </c>
      <c r="D95" s="16">
        <v>69.290800000000004</v>
      </c>
      <c r="E95">
        <v>114</v>
      </c>
      <c r="F95" s="16">
        <v>7899.1512000000002</v>
      </c>
      <c r="G95" s="1" t="s">
        <v>32</v>
      </c>
      <c r="H95">
        <v>63</v>
      </c>
      <c r="I95">
        <v>17</v>
      </c>
      <c r="J95">
        <v>66</v>
      </c>
      <c r="K95">
        <v>1</v>
      </c>
      <c r="L95" s="1" t="s">
        <v>37</v>
      </c>
      <c r="M95" s="2">
        <v>7.0064000000000002</v>
      </c>
      <c r="N95" s="1" t="s">
        <v>46</v>
      </c>
      <c r="O95" s="1" t="s">
        <v>55</v>
      </c>
      <c r="P95">
        <v>21</v>
      </c>
      <c r="Q95">
        <v>824</v>
      </c>
      <c r="R95">
        <v>20</v>
      </c>
      <c r="S95" s="2">
        <v>35.633699999999997</v>
      </c>
      <c r="T95" s="1" t="s">
        <v>40</v>
      </c>
      <c r="U95">
        <v>4.1657817954241452</v>
      </c>
      <c r="V95" s="1" t="s">
        <v>34</v>
      </c>
      <c r="W95" s="1" t="s">
        <v>42</v>
      </c>
      <c r="X95" s="2">
        <v>823.52384588815585</v>
      </c>
      <c r="Z95"/>
    </row>
    <row r="96" spans="1:26" x14ac:dyDescent="0.3">
      <c r="A96" s="16" t="s">
        <v>151</v>
      </c>
      <c r="B96" s="1" t="s">
        <v>141</v>
      </c>
      <c r="C96">
        <v>97</v>
      </c>
      <c r="D96" s="16">
        <v>3.0377000000000001</v>
      </c>
      <c r="E96">
        <v>987</v>
      </c>
      <c r="F96" s="16">
        <v>2998.2098999999998</v>
      </c>
      <c r="G96" s="1" t="s">
        <v>32</v>
      </c>
      <c r="H96">
        <v>77</v>
      </c>
      <c r="I96">
        <v>26</v>
      </c>
      <c r="J96">
        <v>72</v>
      </c>
      <c r="K96">
        <v>9</v>
      </c>
      <c r="L96" s="1" t="s">
        <v>22</v>
      </c>
      <c r="M96" s="2">
        <v>6.9428999999999998</v>
      </c>
      <c r="N96" s="1" t="s">
        <v>54</v>
      </c>
      <c r="O96" s="1" t="s">
        <v>44</v>
      </c>
      <c r="P96">
        <v>12</v>
      </c>
      <c r="Q96">
        <v>908</v>
      </c>
      <c r="R96">
        <v>14</v>
      </c>
      <c r="S96" s="2">
        <v>60.3874</v>
      </c>
      <c r="T96" s="1" t="s">
        <v>57</v>
      </c>
      <c r="U96">
        <v>1.4636074984727798</v>
      </c>
      <c r="V96" s="1" t="s">
        <v>41</v>
      </c>
      <c r="W96" s="1" t="s">
        <v>27</v>
      </c>
      <c r="X96" s="2">
        <v>846.66525698669477</v>
      </c>
      <c r="Z96"/>
    </row>
    <row r="97" spans="1:26" x14ac:dyDescent="0.3">
      <c r="A97" s="16" t="s">
        <v>149</v>
      </c>
      <c r="B97" s="1" t="s">
        <v>142</v>
      </c>
      <c r="C97">
        <v>65</v>
      </c>
      <c r="D97" s="16">
        <v>77.903899999999993</v>
      </c>
      <c r="E97">
        <v>672</v>
      </c>
      <c r="F97" s="16">
        <v>52351.4208</v>
      </c>
      <c r="G97" s="1" t="s">
        <v>32</v>
      </c>
      <c r="H97">
        <v>15</v>
      </c>
      <c r="I97">
        <v>14</v>
      </c>
      <c r="J97">
        <v>26</v>
      </c>
      <c r="K97">
        <v>9</v>
      </c>
      <c r="L97" s="1" t="s">
        <v>22</v>
      </c>
      <c r="M97" s="2">
        <v>8.6303000000000001</v>
      </c>
      <c r="N97" s="1" t="s">
        <v>46</v>
      </c>
      <c r="O97" s="1" t="s">
        <v>24</v>
      </c>
      <c r="P97">
        <v>18</v>
      </c>
      <c r="Q97">
        <v>450</v>
      </c>
      <c r="R97">
        <v>26</v>
      </c>
      <c r="S97" s="2">
        <v>58.890700000000002</v>
      </c>
      <c r="T97" s="1" t="s">
        <v>25</v>
      </c>
      <c r="U97">
        <v>1.2108821295850665</v>
      </c>
      <c r="V97" s="1" t="s">
        <v>34</v>
      </c>
      <c r="W97" s="1" t="s">
        <v>42</v>
      </c>
      <c r="X97" s="2">
        <v>778.8642413766479</v>
      </c>
      <c r="Z97"/>
    </row>
    <row r="98" spans="1:26" x14ac:dyDescent="0.3">
      <c r="A98" s="16" t="s">
        <v>151</v>
      </c>
      <c r="B98" s="1" t="s">
        <v>143</v>
      </c>
      <c r="C98">
        <v>29</v>
      </c>
      <c r="D98" s="16">
        <v>24.423100000000002</v>
      </c>
      <c r="E98">
        <v>324</v>
      </c>
      <c r="F98" s="16">
        <v>7913.0843999999997</v>
      </c>
      <c r="G98" s="1" t="s">
        <v>21</v>
      </c>
      <c r="H98">
        <v>67</v>
      </c>
      <c r="I98">
        <v>2</v>
      </c>
      <c r="J98">
        <v>32</v>
      </c>
      <c r="K98">
        <v>3</v>
      </c>
      <c r="L98" s="1" t="s">
        <v>37</v>
      </c>
      <c r="M98" s="2">
        <v>5.3529</v>
      </c>
      <c r="N98" s="1" t="s">
        <v>23</v>
      </c>
      <c r="O98" s="1" t="s">
        <v>24</v>
      </c>
      <c r="P98">
        <v>28</v>
      </c>
      <c r="Q98">
        <v>648</v>
      </c>
      <c r="R98">
        <v>28</v>
      </c>
      <c r="S98" s="2">
        <v>17.803799999999999</v>
      </c>
      <c r="T98" s="1" t="s">
        <v>25</v>
      </c>
      <c r="U98">
        <v>3.8720476814821332</v>
      </c>
      <c r="V98" s="1" t="s">
        <v>26</v>
      </c>
      <c r="W98" s="1" t="s">
        <v>42</v>
      </c>
      <c r="X98" s="2">
        <v>188.74214114905698</v>
      </c>
      <c r="Z98"/>
    </row>
    <row r="99" spans="1:26" x14ac:dyDescent="0.3">
      <c r="A99" s="16" t="s">
        <v>149</v>
      </c>
      <c r="B99" s="1" t="s">
        <v>144</v>
      </c>
      <c r="C99">
        <v>56</v>
      </c>
      <c r="D99" s="16">
        <v>3.5261</v>
      </c>
      <c r="E99">
        <v>62</v>
      </c>
      <c r="F99" s="16">
        <v>218.6182</v>
      </c>
      <c r="G99" s="1" t="s">
        <v>49</v>
      </c>
      <c r="H99">
        <v>46</v>
      </c>
      <c r="I99">
        <v>19</v>
      </c>
      <c r="J99">
        <v>4</v>
      </c>
      <c r="K99">
        <v>9</v>
      </c>
      <c r="L99" s="1" t="s">
        <v>30</v>
      </c>
      <c r="M99" s="2">
        <v>7.9047999999999998</v>
      </c>
      <c r="N99" s="1" t="s">
        <v>46</v>
      </c>
      <c r="O99" s="1" t="s">
        <v>24</v>
      </c>
      <c r="P99">
        <v>10</v>
      </c>
      <c r="Q99">
        <v>535</v>
      </c>
      <c r="R99">
        <v>13</v>
      </c>
      <c r="S99" s="2">
        <v>65.765199999999993</v>
      </c>
      <c r="T99" s="1" t="s">
        <v>40</v>
      </c>
      <c r="U99">
        <v>3.3762378347179811</v>
      </c>
      <c r="V99" s="1" t="s">
        <v>26</v>
      </c>
      <c r="W99" s="1" t="s">
        <v>42</v>
      </c>
      <c r="X99" s="2">
        <v>540.13242286796776</v>
      </c>
      <c r="Z99"/>
    </row>
    <row r="100" spans="1:26" x14ac:dyDescent="0.3">
      <c r="A100" s="16" t="s">
        <v>150</v>
      </c>
      <c r="B100" s="1" t="s">
        <v>145</v>
      </c>
      <c r="C100">
        <v>43</v>
      </c>
      <c r="D100" s="16">
        <v>19.7546</v>
      </c>
      <c r="E100">
        <v>913</v>
      </c>
      <c r="F100" s="16">
        <v>18035.949799999999</v>
      </c>
      <c r="G100" s="1" t="s">
        <v>29</v>
      </c>
      <c r="H100">
        <v>53</v>
      </c>
      <c r="I100">
        <v>1</v>
      </c>
      <c r="J100">
        <v>27</v>
      </c>
      <c r="K100">
        <v>7</v>
      </c>
      <c r="L100" s="1" t="s">
        <v>22</v>
      </c>
      <c r="M100" s="2">
        <v>1.4097999999999999</v>
      </c>
      <c r="N100" s="1" t="s">
        <v>38</v>
      </c>
      <c r="O100" s="1" t="s">
        <v>55</v>
      </c>
      <c r="P100">
        <v>28</v>
      </c>
      <c r="Q100">
        <v>581</v>
      </c>
      <c r="R100">
        <v>9</v>
      </c>
      <c r="S100" s="2">
        <v>5.6047000000000002</v>
      </c>
      <c r="T100" s="1" t="s">
        <v>25</v>
      </c>
      <c r="U100">
        <v>2.9081221693512611</v>
      </c>
      <c r="V100" s="1" t="s">
        <v>41</v>
      </c>
      <c r="W100" s="1" t="s">
        <v>42</v>
      </c>
      <c r="X100" s="2">
        <v>882.19886354704147</v>
      </c>
      <c r="Z100"/>
    </row>
    <row r="101" spans="1:26" x14ac:dyDescent="0.3">
      <c r="A101" s="16" t="s">
        <v>149</v>
      </c>
      <c r="B101" s="1" t="s">
        <v>146</v>
      </c>
      <c r="C101">
        <v>17</v>
      </c>
      <c r="D101" s="16">
        <v>68.517799999999994</v>
      </c>
      <c r="E101">
        <v>627</v>
      </c>
      <c r="F101" s="16">
        <v>42960.660600000003</v>
      </c>
      <c r="G101" s="1" t="s">
        <v>32</v>
      </c>
      <c r="H101">
        <v>55</v>
      </c>
      <c r="I101">
        <v>8</v>
      </c>
      <c r="J101">
        <v>59</v>
      </c>
      <c r="K101">
        <v>6</v>
      </c>
      <c r="L101" s="1" t="s">
        <v>22</v>
      </c>
      <c r="M101" s="2">
        <v>1.3109999999999999</v>
      </c>
      <c r="N101" s="1" t="s">
        <v>54</v>
      </c>
      <c r="O101" s="1" t="s">
        <v>55</v>
      </c>
      <c r="P101">
        <v>29</v>
      </c>
      <c r="Q101">
        <v>921</v>
      </c>
      <c r="R101">
        <v>2</v>
      </c>
      <c r="S101" s="2">
        <v>38.072899999999997</v>
      </c>
      <c r="T101" s="1" t="s">
        <v>40</v>
      </c>
      <c r="U101">
        <v>0.34602729070550342</v>
      </c>
      <c r="V101" s="1" t="s">
        <v>41</v>
      </c>
      <c r="W101" s="1" t="s">
        <v>27</v>
      </c>
      <c r="X101" s="2">
        <v>210.74300896424614</v>
      </c>
      <c r="Z101"/>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C6FF-F19D-4812-A020-3B82E10CD947}">
  <dimension ref="A2:S120"/>
  <sheetViews>
    <sheetView workbookViewId="0"/>
  </sheetViews>
  <sheetFormatPr defaultRowHeight="14.4" x14ac:dyDescent="0.3"/>
  <cols>
    <col min="1" max="1" width="20.44140625" bestFit="1" customWidth="1"/>
    <col min="2" max="2" width="18.33203125" bestFit="1" customWidth="1"/>
    <col min="3" max="3" width="21.88671875" bestFit="1" customWidth="1"/>
    <col min="4" max="4" width="10.5546875" bestFit="1" customWidth="1"/>
    <col min="5" max="5" width="18.6640625" bestFit="1" customWidth="1"/>
    <col min="6" max="6" width="17" customWidth="1"/>
    <col min="7" max="7" width="20.44140625" bestFit="1" customWidth="1"/>
    <col min="8" max="8" width="6.6640625" bestFit="1" customWidth="1"/>
    <col min="9" max="9" width="25.77734375" bestFit="1" customWidth="1"/>
    <col min="10" max="10" width="10.5546875" bestFit="1" customWidth="1"/>
    <col min="11" max="11" width="18.33203125" bestFit="1" customWidth="1"/>
    <col min="12" max="12" width="10.5546875" customWidth="1"/>
    <col min="13" max="13" width="10.5546875" bestFit="1" customWidth="1"/>
    <col min="14" max="14" width="21.88671875" bestFit="1" customWidth="1"/>
    <col min="15" max="15" width="16.21875" style="8" customWidth="1"/>
    <col min="16" max="16" width="10.5546875" bestFit="1" customWidth="1"/>
    <col min="17" max="17" width="15.88671875" bestFit="1" customWidth="1"/>
    <col min="18" max="18" width="23.6640625" customWidth="1"/>
  </cols>
  <sheetData>
    <row r="2" spans="1:19" x14ac:dyDescent="0.3">
      <c r="A2" s="6" t="s">
        <v>165</v>
      </c>
      <c r="B2" s="6"/>
      <c r="C2" s="6"/>
      <c r="D2" s="6"/>
      <c r="E2" s="6"/>
      <c r="F2" s="6"/>
      <c r="G2" s="6"/>
      <c r="H2" s="6"/>
      <c r="I2" s="6"/>
      <c r="J2" s="6"/>
      <c r="K2" s="6"/>
    </row>
    <row r="3" spans="1:19" x14ac:dyDescent="0.3">
      <c r="A3" t="s">
        <v>152</v>
      </c>
      <c r="B3" t="s">
        <v>153</v>
      </c>
      <c r="C3" t="s">
        <v>154</v>
      </c>
      <c r="D3" t="s">
        <v>155</v>
      </c>
      <c r="E3" t="s">
        <v>156</v>
      </c>
      <c r="F3" t="s">
        <v>157</v>
      </c>
      <c r="G3" t="s">
        <v>160</v>
      </c>
      <c r="H3" t="s">
        <v>161</v>
      </c>
      <c r="I3" t="s">
        <v>162</v>
      </c>
      <c r="J3" t="s">
        <v>163</v>
      </c>
      <c r="K3" t="s">
        <v>164</v>
      </c>
    </row>
    <row r="4" spans="1:19" x14ac:dyDescent="0.3">
      <c r="A4" s="1">
        <v>3</v>
      </c>
      <c r="B4" s="10">
        <v>49.462456000000003</v>
      </c>
      <c r="C4" s="14">
        <v>2285549.7335000001</v>
      </c>
      <c r="D4" s="12">
        <v>46099</v>
      </c>
      <c r="E4" s="13">
        <v>4922</v>
      </c>
      <c r="F4" s="10">
        <v>554.81460000000004</v>
      </c>
      <c r="G4" s="1">
        <v>15.96</v>
      </c>
      <c r="H4" s="4">
        <v>2.2771579927396108</v>
      </c>
      <c r="I4" s="4">
        <v>5.75</v>
      </c>
      <c r="J4" s="10">
        <v>529.24578215814097</v>
      </c>
      <c r="K4" s="13">
        <v>4777</v>
      </c>
    </row>
    <row r="5" spans="1:19" x14ac:dyDescent="0.3">
      <c r="M5" s="7" t="s">
        <v>0</v>
      </c>
      <c r="N5" t="s" vm="1">
        <v>187</v>
      </c>
    </row>
    <row r="6" spans="1:19" x14ac:dyDescent="0.3">
      <c r="A6" s="6" t="s">
        <v>171</v>
      </c>
      <c r="B6" s="6"/>
      <c r="C6" s="5" t="s">
        <v>166</v>
      </c>
      <c r="D6" s="6" t="s">
        <v>172</v>
      </c>
      <c r="E6" s="6"/>
      <c r="F6" s="8"/>
      <c r="G6" s="6" t="s">
        <v>192</v>
      </c>
      <c r="H6" s="6"/>
      <c r="I6" s="5" t="s">
        <v>170</v>
      </c>
      <c r="J6" s="6" t="s">
        <v>177</v>
      </c>
      <c r="K6" s="6"/>
      <c r="M6" s="6" t="s">
        <v>185</v>
      </c>
      <c r="N6" s="6"/>
      <c r="O6" s="8" t="s">
        <v>184</v>
      </c>
      <c r="P6" s="6"/>
      <c r="Q6" s="6"/>
    </row>
    <row r="7" spans="1:19" x14ac:dyDescent="0.3">
      <c r="A7" s="7" t="s">
        <v>169</v>
      </c>
      <c r="B7" t="s">
        <v>147</v>
      </c>
      <c r="D7" s="7" t="s">
        <v>169</v>
      </c>
      <c r="E7" t="s">
        <v>10</v>
      </c>
      <c r="G7" s="7" t="s">
        <v>174</v>
      </c>
      <c r="H7" t="s">
        <v>180</v>
      </c>
      <c r="J7" s="7" t="s">
        <v>169</v>
      </c>
      <c r="K7" t="s">
        <v>183</v>
      </c>
      <c r="M7" t="s">
        <v>168</v>
      </c>
      <c r="N7" t="s">
        <v>186</v>
      </c>
      <c r="O7"/>
      <c r="P7" s="7" t="s">
        <v>189</v>
      </c>
      <c r="Q7" t="s">
        <v>154</v>
      </c>
    </row>
    <row r="8" spans="1:19" x14ac:dyDescent="0.3">
      <c r="A8" s="9" t="s">
        <v>30</v>
      </c>
      <c r="B8" s="3">
        <v>641582.08440000005</v>
      </c>
      <c r="D8" s="9" t="s">
        <v>30</v>
      </c>
      <c r="E8" s="3">
        <v>155.5377</v>
      </c>
      <c r="G8" s="9" t="s">
        <v>34</v>
      </c>
      <c r="H8" s="4">
        <v>1.8239235457132956</v>
      </c>
      <c r="J8" s="9" t="s">
        <v>30</v>
      </c>
      <c r="K8" s="4">
        <v>6.1428571428571432</v>
      </c>
      <c r="M8" s="3">
        <v>2285549.7335000001</v>
      </c>
      <c r="N8" s="3">
        <v>4946.2456000000002</v>
      </c>
      <c r="O8"/>
      <c r="P8" s="9" t="s">
        <v>151</v>
      </c>
      <c r="Q8" s="3">
        <v>600580.46429999999</v>
      </c>
    </row>
    <row r="9" spans="1:19" x14ac:dyDescent="0.3">
      <c r="A9" s="9" t="s">
        <v>22</v>
      </c>
      <c r="B9" s="3">
        <v>1047593.8941</v>
      </c>
      <c r="D9" s="9" t="s">
        <v>22</v>
      </c>
      <c r="E9" s="3">
        <v>236.89750000000001</v>
      </c>
      <c r="G9" s="9" t="s">
        <v>41</v>
      </c>
      <c r="H9" s="4">
        <v>2.3188139085148189</v>
      </c>
      <c r="J9" s="9" t="s">
        <v>22</v>
      </c>
      <c r="K9" s="4">
        <v>5.3023255813953485</v>
      </c>
      <c r="P9" s="9" t="s">
        <v>149</v>
      </c>
      <c r="Q9" s="3">
        <v>632896.12890000001</v>
      </c>
    </row>
    <row r="10" spans="1:19" x14ac:dyDescent="0.3">
      <c r="A10" s="9" t="s">
        <v>37</v>
      </c>
      <c r="B10" s="3">
        <v>596373.755</v>
      </c>
      <c r="D10" s="9" t="s">
        <v>37</v>
      </c>
      <c r="E10" s="3">
        <v>162.3794</v>
      </c>
      <c r="G10" s="9" t="s">
        <v>26</v>
      </c>
      <c r="H10" s="4">
        <v>2.6209384707029142</v>
      </c>
      <c r="J10" s="9" t="s">
        <v>37</v>
      </c>
      <c r="K10" s="4">
        <v>6.0344827586206895</v>
      </c>
      <c r="P10" s="9" t="s">
        <v>150</v>
      </c>
      <c r="Q10" s="3">
        <v>1052073.1403000001</v>
      </c>
    </row>
    <row r="11" spans="1:19" x14ac:dyDescent="0.3">
      <c r="A11" s="9" t="s">
        <v>167</v>
      </c>
      <c r="B11" s="3">
        <v>2285549.7335000001</v>
      </c>
      <c r="D11" s="9" t="s">
        <v>167</v>
      </c>
      <c r="E11" s="3">
        <v>554.81460000000004</v>
      </c>
      <c r="G11" s="9" t="s">
        <v>50</v>
      </c>
      <c r="H11" s="4">
        <v>2.3152812939185798</v>
      </c>
      <c r="J11" s="9" t="s">
        <v>167</v>
      </c>
      <c r="K11" s="4">
        <v>5.75</v>
      </c>
      <c r="P11" s="9" t="s">
        <v>167</v>
      </c>
      <c r="Q11" s="3">
        <v>2285549.7335000001</v>
      </c>
      <c r="S11" t="s">
        <v>188</v>
      </c>
    </row>
    <row r="12" spans="1:19" x14ac:dyDescent="0.3">
      <c r="G12" s="9" t="s">
        <v>167</v>
      </c>
      <c r="H12" s="4">
        <v>2.2771579927396108</v>
      </c>
    </row>
    <row r="14" spans="1:19" x14ac:dyDescent="0.3">
      <c r="A14" s="6" t="s">
        <v>173</v>
      </c>
      <c r="B14" s="6"/>
      <c r="D14" s="6" t="s">
        <v>176</v>
      </c>
      <c r="E14" s="6"/>
      <c r="G14" s="6" t="s">
        <v>178</v>
      </c>
      <c r="H14" s="6"/>
      <c r="J14" s="6" t="s">
        <v>179</v>
      </c>
      <c r="K14" s="6"/>
    </row>
    <row r="15" spans="1:19" x14ac:dyDescent="0.3">
      <c r="A15" s="7" t="s">
        <v>174</v>
      </c>
      <c r="B15" t="s">
        <v>148</v>
      </c>
      <c r="D15" s="7" t="s">
        <v>175</v>
      </c>
      <c r="E15" t="s">
        <v>158</v>
      </c>
      <c r="G15" s="7" t="s">
        <v>174</v>
      </c>
      <c r="H15" t="s">
        <v>181</v>
      </c>
      <c r="I15" t="s">
        <v>194</v>
      </c>
      <c r="J15" s="7" t="s">
        <v>182</v>
      </c>
      <c r="K15" t="s">
        <v>148</v>
      </c>
    </row>
    <row r="16" spans="1:19" x14ac:dyDescent="0.3">
      <c r="A16" s="9" t="s">
        <v>34</v>
      </c>
      <c r="B16" s="10">
        <v>14604.527497613781</v>
      </c>
      <c r="D16" s="9" t="s">
        <v>33</v>
      </c>
      <c r="E16" s="4">
        <v>16.777777777777779</v>
      </c>
      <c r="G16" s="9" t="s">
        <v>34</v>
      </c>
      <c r="H16" s="1">
        <v>1341</v>
      </c>
      <c r="I16" s="4">
        <v>18.26923076923077</v>
      </c>
      <c r="J16" s="9" t="s">
        <v>42</v>
      </c>
      <c r="K16" s="10">
        <v>485.48312777565553</v>
      </c>
    </row>
    <row r="17" spans="1:17" x14ac:dyDescent="0.3">
      <c r="A17" s="9" t="s">
        <v>41</v>
      </c>
      <c r="B17" s="10">
        <v>15168.931558531685</v>
      </c>
      <c r="D17" s="9" t="s">
        <v>54</v>
      </c>
      <c r="E17" s="4">
        <v>16.227272727272727</v>
      </c>
      <c r="G17" s="9" t="s">
        <v>41</v>
      </c>
      <c r="H17" s="1">
        <v>1342</v>
      </c>
      <c r="I17" s="4">
        <v>14.892857142857142</v>
      </c>
      <c r="J17" s="9" t="s">
        <v>27</v>
      </c>
      <c r="K17" s="10">
        <v>595.6590277189556</v>
      </c>
    </row>
    <row r="18" spans="1:17" x14ac:dyDescent="0.3">
      <c r="A18" s="9" t="s">
        <v>26</v>
      </c>
      <c r="B18" s="10">
        <v>16048.193639194964</v>
      </c>
      <c r="D18" s="9" t="s">
        <v>23</v>
      </c>
      <c r="E18" s="4">
        <v>14.333333333333334</v>
      </c>
      <c r="G18" s="9" t="s">
        <v>26</v>
      </c>
      <c r="H18" s="1">
        <v>1386</v>
      </c>
      <c r="I18" s="4">
        <v>17.137931034482758</v>
      </c>
      <c r="J18" s="9" t="s">
        <v>35</v>
      </c>
      <c r="K18" s="10">
        <v>500.4709847929783</v>
      </c>
      <c r="M18" s="6" t="s">
        <v>190</v>
      </c>
      <c r="N18" s="6"/>
      <c r="P18" s="6" t="s">
        <v>191</v>
      </c>
      <c r="Q18" s="6"/>
    </row>
    <row r="19" spans="1:17" x14ac:dyDescent="0.3">
      <c r="A19" s="9" t="s">
        <v>50</v>
      </c>
      <c r="B19" s="10">
        <v>7102.9255204736792</v>
      </c>
      <c r="D19" s="9" t="s">
        <v>46</v>
      </c>
      <c r="E19" s="4">
        <v>17</v>
      </c>
      <c r="G19" s="9" t="s">
        <v>50</v>
      </c>
      <c r="H19" s="1">
        <v>853</v>
      </c>
      <c r="I19" s="4">
        <v>12.176470588235293</v>
      </c>
      <c r="J19" s="9" t="s">
        <v>167</v>
      </c>
      <c r="K19" s="10">
        <v>529.24578215814097</v>
      </c>
      <c r="M19" s="7" t="s">
        <v>1</v>
      </c>
      <c r="N19" t="s">
        <v>154</v>
      </c>
      <c r="P19" s="7" t="s">
        <v>1</v>
      </c>
      <c r="Q19" t="s">
        <v>164</v>
      </c>
    </row>
    <row r="20" spans="1:17" x14ac:dyDescent="0.3">
      <c r="A20" s="9" t="s">
        <v>167</v>
      </c>
      <c r="B20" s="10">
        <v>52924.578215814101</v>
      </c>
      <c r="D20" s="9" t="s">
        <v>38</v>
      </c>
      <c r="E20" s="4">
        <v>14.722222222222221</v>
      </c>
      <c r="G20" s="9" t="s">
        <v>167</v>
      </c>
      <c r="H20" s="1">
        <v>4922</v>
      </c>
      <c r="I20" s="4">
        <v>15.96</v>
      </c>
      <c r="M20" s="9" t="s">
        <v>20</v>
      </c>
      <c r="N20" s="3">
        <v>55986.016000000003</v>
      </c>
      <c r="P20" s="9" t="s">
        <v>20</v>
      </c>
      <c r="Q20" s="1">
        <v>58</v>
      </c>
    </row>
    <row r="21" spans="1:17" x14ac:dyDescent="0.3">
      <c r="D21" s="9" t="s">
        <v>167</v>
      </c>
      <c r="E21" s="4">
        <v>15.96</v>
      </c>
      <c r="M21" s="9" t="s">
        <v>28</v>
      </c>
      <c r="N21" s="3">
        <v>10924.816000000001</v>
      </c>
      <c r="P21" s="9" t="s">
        <v>28</v>
      </c>
      <c r="Q21" s="1">
        <v>53</v>
      </c>
    </row>
    <row r="22" spans="1:17" x14ac:dyDescent="0.3">
      <c r="M22" s="9" t="s">
        <v>56</v>
      </c>
      <c r="N22" s="3">
        <v>15644.968800000001</v>
      </c>
      <c r="P22" s="9" t="s">
        <v>56</v>
      </c>
      <c r="Q22" s="1">
        <v>51</v>
      </c>
    </row>
    <row r="23" spans="1:17" x14ac:dyDescent="0.3">
      <c r="M23" s="9" t="s">
        <v>58</v>
      </c>
      <c r="N23" s="3">
        <v>87010.08</v>
      </c>
      <c r="P23" s="9" t="s">
        <v>58</v>
      </c>
      <c r="Q23" s="1">
        <v>46</v>
      </c>
    </row>
    <row r="24" spans="1:17" x14ac:dyDescent="0.3">
      <c r="M24" s="9" t="s">
        <v>59</v>
      </c>
      <c r="N24" s="3">
        <v>23927.702399999998</v>
      </c>
      <c r="P24" s="9" t="s">
        <v>59</v>
      </c>
      <c r="Q24" s="1">
        <v>100</v>
      </c>
    </row>
    <row r="25" spans="1:17" x14ac:dyDescent="0.3">
      <c r="G25" s="7" t="s">
        <v>180</v>
      </c>
      <c r="H25" s="7" t="s">
        <v>193</v>
      </c>
      <c r="M25" s="9" t="s">
        <v>60</v>
      </c>
      <c r="N25" s="3">
        <v>4023.9396000000002</v>
      </c>
      <c r="P25" s="9" t="s">
        <v>60</v>
      </c>
      <c r="Q25" s="1">
        <v>80</v>
      </c>
    </row>
    <row r="26" spans="1:17" x14ac:dyDescent="0.3">
      <c r="G26" s="7" t="s">
        <v>174</v>
      </c>
      <c r="H26" t="s">
        <v>34</v>
      </c>
      <c r="I26" t="s">
        <v>41</v>
      </c>
      <c r="J26" t="s">
        <v>26</v>
      </c>
      <c r="K26" t="s">
        <v>50</v>
      </c>
      <c r="L26" t="s">
        <v>167</v>
      </c>
      <c r="M26" s="9" t="s">
        <v>61</v>
      </c>
      <c r="N26" s="3">
        <v>55734.270600000003</v>
      </c>
      <c r="P26" s="9" t="s">
        <v>61</v>
      </c>
      <c r="Q26" s="1">
        <v>54</v>
      </c>
    </row>
    <row r="27" spans="1:17" x14ac:dyDescent="0.3">
      <c r="G27" s="9" t="s">
        <v>151</v>
      </c>
      <c r="H27" s="15">
        <v>0.39938126329463874</v>
      </c>
      <c r="I27" s="15">
        <v>2.1588410218392475</v>
      </c>
      <c r="J27" s="15">
        <v>2.7036749128426174</v>
      </c>
      <c r="K27" s="15">
        <v>2.0421560742053573</v>
      </c>
      <c r="L27" s="15">
        <v>1.9192869782813182</v>
      </c>
      <c r="M27" s="9" t="s">
        <v>62</v>
      </c>
      <c r="N27" s="3">
        <v>17347.934799999999</v>
      </c>
      <c r="P27" s="9" t="s">
        <v>62</v>
      </c>
      <c r="Q27" s="1">
        <v>9</v>
      </c>
    </row>
    <row r="28" spans="1:17" x14ac:dyDescent="0.3">
      <c r="G28" s="9" t="s">
        <v>149</v>
      </c>
      <c r="H28" s="15">
        <v>2.9247087934532461</v>
      </c>
      <c r="I28" s="15">
        <v>1.95931796530678</v>
      </c>
      <c r="J28" s="15">
        <v>2.2387315556923406</v>
      </c>
      <c r="K28" s="15">
        <v>3.6428694726088438</v>
      </c>
      <c r="L28" s="15">
        <v>2.4831501929246254</v>
      </c>
      <c r="M28" s="9" t="s">
        <v>63</v>
      </c>
      <c r="N28" s="3">
        <v>2113.2159999999999</v>
      </c>
      <c r="P28" s="9" t="s">
        <v>63</v>
      </c>
      <c r="Q28" s="1">
        <v>2</v>
      </c>
    </row>
    <row r="29" spans="1:17" x14ac:dyDescent="0.3">
      <c r="G29" s="9" t="s">
        <v>150</v>
      </c>
      <c r="H29" s="15">
        <v>1.6944181172651178</v>
      </c>
      <c r="I29" s="15">
        <v>2.8782267320882116</v>
      </c>
      <c r="J29" s="15">
        <v>2.9927625004564287</v>
      </c>
      <c r="K29" s="15">
        <v>1.7907668087069055</v>
      </c>
      <c r="L29" s="15">
        <v>2.3346807819802371</v>
      </c>
      <c r="M29" s="9" t="s">
        <v>64</v>
      </c>
      <c r="N29" s="3">
        <v>10264.275</v>
      </c>
      <c r="P29" s="9" t="s">
        <v>64</v>
      </c>
      <c r="Q29" s="1">
        <v>45</v>
      </c>
    </row>
    <row r="30" spans="1:17" x14ac:dyDescent="0.3">
      <c r="G30" s="9" t="s">
        <v>167</v>
      </c>
      <c r="H30" s="15">
        <v>1.8239235457132956</v>
      </c>
      <c r="I30" s="15">
        <v>2.3188139085148189</v>
      </c>
      <c r="J30" s="15">
        <v>2.6209384707029142</v>
      </c>
      <c r="K30" s="15">
        <v>2.3152812939185798</v>
      </c>
      <c r="L30" s="15">
        <v>2.2771579927396108</v>
      </c>
      <c r="M30" s="9" t="s">
        <v>65</v>
      </c>
      <c r="N30" s="3">
        <v>22595.031999999999</v>
      </c>
      <c r="P30" s="9" t="s">
        <v>65</v>
      </c>
      <c r="Q30" s="1">
        <v>10</v>
      </c>
    </row>
    <row r="31" spans="1:17" x14ac:dyDescent="0.3">
      <c r="M31" s="9" t="s">
        <v>66</v>
      </c>
      <c r="N31" s="3">
        <v>9560.1692999999996</v>
      </c>
      <c r="P31" s="9" t="s">
        <v>66</v>
      </c>
      <c r="Q31" s="1">
        <v>48</v>
      </c>
    </row>
    <row r="32" spans="1:17" x14ac:dyDescent="0.3">
      <c r="M32" s="9" t="s">
        <v>31</v>
      </c>
      <c r="N32" s="3">
        <v>90.557599999999994</v>
      </c>
      <c r="P32" s="9" t="s">
        <v>31</v>
      </c>
      <c r="Q32" s="1">
        <v>1</v>
      </c>
    </row>
    <row r="33" spans="13:17" x14ac:dyDescent="0.3">
      <c r="M33" s="9" t="s">
        <v>67</v>
      </c>
      <c r="N33" s="3">
        <v>30829.151999999998</v>
      </c>
      <c r="P33" s="9" t="s">
        <v>67</v>
      </c>
      <c r="Q33" s="1">
        <v>27</v>
      </c>
    </row>
    <row r="34" spans="13:17" x14ac:dyDescent="0.3">
      <c r="M34" s="9" t="s">
        <v>68</v>
      </c>
      <c r="N34" s="3">
        <v>51021.233899999999</v>
      </c>
      <c r="P34" s="9" t="s">
        <v>68</v>
      </c>
      <c r="Q34" s="1">
        <v>69</v>
      </c>
    </row>
    <row r="35" spans="13:17" x14ac:dyDescent="0.3">
      <c r="M35" s="9" t="s">
        <v>69</v>
      </c>
      <c r="N35" s="3">
        <v>24468.943200000002</v>
      </c>
      <c r="P35" s="9" t="s">
        <v>69</v>
      </c>
      <c r="Q35" s="1">
        <v>71</v>
      </c>
    </row>
    <row r="36" spans="13:17" x14ac:dyDescent="0.3">
      <c r="M36" s="9" t="s">
        <v>70</v>
      </c>
      <c r="N36" s="3">
        <v>1690.8013000000001</v>
      </c>
      <c r="P36" s="9" t="s">
        <v>70</v>
      </c>
      <c r="Q36" s="1">
        <v>84</v>
      </c>
    </row>
    <row r="37" spans="13:17" x14ac:dyDescent="0.3">
      <c r="M37" s="9" t="s">
        <v>71</v>
      </c>
      <c r="N37" s="3">
        <v>868.66669999999999</v>
      </c>
      <c r="P37" s="9" t="s">
        <v>71</v>
      </c>
      <c r="Q37" s="1">
        <v>4</v>
      </c>
    </row>
    <row r="38" spans="13:17" x14ac:dyDescent="0.3">
      <c r="M38" s="9" t="s">
        <v>72</v>
      </c>
      <c r="N38" s="3">
        <v>5627.3606</v>
      </c>
      <c r="P38" s="9" t="s">
        <v>72</v>
      </c>
      <c r="Q38" s="1">
        <v>82</v>
      </c>
    </row>
    <row r="39" spans="13:17" x14ac:dyDescent="0.3">
      <c r="M39" s="9" t="s">
        <v>73</v>
      </c>
      <c r="N39" s="3">
        <v>34398.755700000002</v>
      </c>
      <c r="P39" s="9" t="s">
        <v>73</v>
      </c>
      <c r="Q39" s="1">
        <v>59</v>
      </c>
    </row>
    <row r="40" spans="13:17" x14ac:dyDescent="0.3">
      <c r="M40" s="9" t="s">
        <v>74</v>
      </c>
      <c r="N40" s="3">
        <v>32580.2048</v>
      </c>
      <c r="P40" s="9" t="s">
        <v>74</v>
      </c>
      <c r="Q40" s="1">
        <v>47</v>
      </c>
    </row>
    <row r="41" spans="13:17" x14ac:dyDescent="0.3">
      <c r="M41" s="9" t="s">
        <v>75</v>
      </c>
      <c r="N41" s="3">
        <v>944.53620000000001</v>
      </c>
      <c r="P41" s="9" t="s">
        <v>75</v>
      </c>
      <c r="Q41" s="1">
        <v>48</v>
      </c>
    </row>
    <row r="42" spans="13:17" x14ac:dyDescent="0.3">
      <c r="M42" s="9" t="s">
        <v>76</v>
      </c>
      <c r="N42" s="3">
        <v>16052.2428</v>
      </c>
      <c r="P42" s="9" t="s">
        <v>76</v>
      </c>
      <c r="Q42" s="1">
        <v>45</v>
      </c>
    </row>
    <row r="43" spans="13:17" x14ac:dyDescent="0.3">
      <c r="M43" s="9" t="s">
        <v>36</v>
      </c>
      <c r="N43" s="3">
        <v>5076.5538999999999</v>
      </c>
      <c r="P43" s="9" t="s">
        <v>36</v>
      </c>
      <c r="Q43" s="1">
        <v>23</v>
      </c>
    </row>
    <row r="44" spans="13:17" x14ac:dyDescent="0.3">
      <c r="M44" s="9" t="s">
        <v>77</v>
      </c>
      <c r="N44" s="3">
        <v>2623.4883</v>
      </c>
      <c r="P44" s="9" t="s">
        <v>77</v>
      </c>
      <c r="Q44" s="1">
        <v>60</v>
      </c>
    </row>
    <row r="45" spans="13:17" x14ac:dyDescent="0.3">
      <c r="M45" s="9" t="s">
        <v>78</v>
      </c>
      <c r="N45" s="3">
        <v>8542.3631999999998</v>
      </c>
      <c r="P45" s="9" t="s">
        <v>78</v>
      </c>
      <c r="Q45" s="1">
        <v>6</v>
      </c>
    </row>
    <row r="46" spans="13:17" x14ac:dyDescent="0.3">
      <c r="M46" s="9" t="s">
        <v>79</v>
      </c>
      <c r="N46" s="3">
        <v>61862.931900000003</v>
      </c>
      <c r="P46" s="9" t="s">
        <v>79</v>
      </c>
      <c r="Q46" s="1">
        <v>89</v>
      </c>
    </row>
    <row r="47" spans="13:17" x14ac:dyDescent="0.3">
      <c r="M47" s="9" t="s">
        <v>80</v>
      </c>
      <c r="N47" s="3">
        <v>39913.966399999998</v>
      </c>
      <c r="P47" s="9" t="s">
        <v>80</v>
      </c>
      <c r="Q47" s="1">
        <v>4</v>
      </c>
    </row>
    <row r="48" spans="13:17" x14ac:dyDescent="0.3">
      <c r="M48" s="9" t="s">
        <v>81</v>
      </c>
      <c r="N48" s="3">
        <v>22555.495200000001</v>
      </c>
      <c r="P48" s="9" t="s">
        <v>81</v>
      </c>
      <c r="Q48" s="1">
        <v>1</v>
      </c>
    </row>
    <row r="49" spans="13:17" x14ac:dyDescent="0.3">
      <c r="M49" s="9" t="s">
        <v>82</v>
      </c>
      <c r="N49" s="3">
        <v>38146.052199999998</v>
      </c>
      <c r="P49" s="9" t="s">
        <v>82</v>
      </c>
      <c r="Q49" s="1">
        <v>42</v>
      </c>
    </row>
    <row r="50" spans="13:17" x14ac:dyDescent="0.3">
      <c r="M50" s="9" t="s">
        <v>83</v>
      </c>
      <c r="N50" s="3">
        <v>9449.9189999999999</v>
      </c>
      <c r="P50" s="9" t="s">
        <v>83</v>
      </c>
      <c r="Q50" s="1">
        <v>18</v>
      </c>
    </row>
    <row r="51" spans="13:17" x14ac:dyDescent="0.3">
      <c r="M51" s="9" t="s">
        <v>84</v>
      </c>
      <c r="N51" s="3">
        <v>22534.007399999999</v>
      </c>
      <c r="P51" s="9" t="s">
        <v>84</v>
      </c>
      <c r="Q51" s="1">
        <v>25</v>
      </c>
    </row>
    <row r="52" spans="13:17" x14ac:dyDescent="0.3">
      <c r="M52" s="9" t="s">
        <v>85</v>
      </c>
      <c r="N52" s="3">
        <v>36713.5095</v>
      </c>
      <c r="P52" s="9" t="s">
        <v>85</v>
      </c>
      <c r="Q52" s="1">
        <v>69</v>
      </c>
    </row>
    <row r="53" spans="13:17" x14ac:dyDescent="0.3">
      <c r="M53" s="9" t="s">
        <v>86</v>
      </c>
      <c r="N53" s="3">
        <v>3366.44</v>
      </c>
      <c r="P53" s="9" t="s">
        <v>86</v>
      </c>
      <c r="Q53" s="1">
        <v>78</v>
      </c>
    </row>
    <row r="54" spans="13:17" x14ac:dyDescent="0.3">
      <c r="M54" s="9" t="s">
        <v>43</v>
      </c>
      <c r="N54" s="3">
        <v>4185.5905000000002</v>
      </c>
      <c r="P54" s="9" t="s">
        <v>43</v>
      </c>
      <c r="Q54" s="1">
        <v>5</v>
      </c>
    </row>
    <row r="55" spans="13:17" x14ac:dyDescent="0.3">
      <c r="M55" s="9" t="s">
        <v>87</v>
      </c>
      <c r="N55" s="3">
        <v>75145.126199999999</v>
      </c>
      <c r="P55" s="9" t="s">
        <v>87</v>
      </c>
      <c r="Q55" s="1">
        <v>90</v>
      </c>
    </row>
    <row r="56" spans="13:17" x14ac:dyDescent="0.3">
      <c r="M56" s="9" t="s">
        <v>88</v>
      </c>
      <c r="N56" s="3">
        <v>55106.9948</v>
      </c>
      <c r="P56" s="9" t="s">
        <v>88</v>
      </c>
      <c r="Q56" s="1">
        <v>64</v>
      </c>
    </row>
    <row r="57" spans="13:17" x14ac:dyDescent="0.3">
      <c r="M57" s="9" t="s">
        <v>89</v>
      </c>
      <c r="N57" s="3">
        <v>7212.0259999999998</v>
      </c>
      <c r="P57" s="9" t="s">
        <v>89</v>
      </c>
      <c r="Q57" s="1">
        <v>22</v>
      </c>
    </row>
    <row r="58" spans="13:17" x14ac:dyDescent="0.3">
      <c r="M58" s="9" t="s">
        <v>90</v>
      </c>
      <c r="N58" s="3">
        <v>7022.4934000000003</v>
      </c>
      <c r="P58" s="9" t="s">
        <v>90</v>
      </c>
      <c r="Q58" s="1">
        <v>36</v>
      </c>
    </row>
    <row r="59" spans="13:17" x14ac:dyDescent="0.3">
      <c r="M59" s="9" t="s">
        <v>91</v>
      </c>
      <c r="N59" s="3">
        <v>47195.980199999998</v>
      </c>
      <c r="P59" s="9" t="s">
        <v>91</v>
      </c>
      <c r="Q59" s="1">
        <v>13</v>
      </c>
    </row>
    <row r="60" spans="13:17" x14ac:dyDescent="0.3">
      <c r="M60" s="9" t="s">
        <v>92</v>
      </c>
      <c r="N60" s="3">
        <v>810.8184</v>
      </c>
      <c r="P60" s="9" t="s">
        <v>92</v>
      </c>
      <c r="Q60" s="1">
        <v>93</v>
      </c>
    </row>
    <row r="61" spans="13:17" x14ac:dyDescent="0.3">
      <c r="M61" s="9" t="s">
        <v>93</v>
      </c>
      <c r="N61" s="3">
        <v>23263.609799999998</v>
      </c>
      <c r="P61" s="9" t="s">
        <v>93</v>
      </c>
      <c r="Q61" s="1">
        <v>92</v>
      </c>
    </row>
    <row r="62" spans="13:17" x14ac:dyDescent="0.3">
      <c r="M62" s="9" t="s">
        <v>94</v>
      </c>
      <c r="N62" s="3">
        <v>87098.010999999999</v>
      </c>
      <c r="P62" s="9" t="s">
        <v>94</v>
      </c>
      <c r="Q62" s="1">
        <v>4</v>
      </c>
    </row>
    <row r="63" spans="13:17" x14ac:dyDescent="0.3">
      <c r="M63" s="9" t="s">
        <v>95</v>
      </c>
      <c r="N63" s="3">
        <v>2205.0295000000001</v>
      </c>
      <c r="P63" s="9" t="s">
        <v>95</v>
      </c>
      <c r="Q63" s="1">
        <v>30</v>
      </c>
    </row>
    <row r="64" spans="13:17" x14ac:dyDescent="0.3">
      <c r="M64" s="9" t="s">
        <v>96</v>
      </c>
      <c r="N64" s="3">
        <v>7810.8921</v>
      </c>
      <c r="P64" s="9" t="s">
        <v>96</v>
      </c>
      <c r="Q64" s="1">
        <v>97</v>
      </c>
    </row>
    <row r="65" spans="13:17" x14ac:dyDescent="0.3">
      <c r="M65" s="9" t="s">
        <v>45</v>
      </c>
      <c r="N65" s="3">
        <v>249.9</v>
      </c>
      <c r="P65" s="9" t="s">
        <v>45</v>
      </c>
      <c r="Q65" s="1">
        <v>90</v>
      </c>
    </row>
    <row r="66" spans="13:17" x14ac:dyDescent="0.3">
      <c r="M66" s="9" t="s">
        <v>97</v>
      </c>
      <c r="N66" s="3">
        <v>8990.8155000000006</v>
      </c>
      <c r="P66" s="9" t="s">
        <v>97</v>
      </c>
      <c r="Q66" s="1">
        <v>31</v>
      </c>
    </row>
    <row r="67" spans="13:17" x14ac:dyDescent="0.3">
      <c r="M67" s="9" t="s">
        <v>98</v>
      </c>
      <c r="N67" s="3">
        <v>4111.9232000000002</v>
      </c>
      <c r="P67" s="9" t="s">
        <v>98</v>
      </c>
      <c r="Q67" s="1">
        <v>100</v>
      </c>
    </row>
    <row r="68" spans="13:17" x14ac:dyDescent="0.3">
      <c r="M68" s="9" t="s">
        <v>99</v>
      </c>
      <c r="N68" s="3">
        <v>80386.076000000001</v>
      </c>
      <c r="P68" s="9" t="s">
        <v>99</v>
      </c>
      <c r="Q68" s="1">
        <v>64</v>
      </c>
    </row>
    <row r="69" spans="13:17" x14ac:dyDescent="0.3">
      <c r="M69" s="9" t="s">
        <v>100</v>
      </c>
      <c r="N69" s="3">
        <v>7342.643</v>
      </c>
      <c r="P69" s="9" t="s">
        <v>100</v>
      </c>
      <c r="Q69" s="1">
        <v>96</v>
      </c>
    </row>
    <row r="70" spans="13:17" x14ac:dyDescent="0.3">
      <c r="M70" s="9" t="s">
        <v>101</v>
      </c>
      <c r="N70" s="3">
        <v>19372.936399999999</v>
      </c>
      <c r="P70" s="9" t="s">
        <v>101</v>
      </c>
      <c r="Q70" s="1">
        <v>33</v>
      </c>
    </row>
    <row r="71" spans="13:17" x14ac:dyDescent="0.3">
      <c r="M71" s="9" t="s">
        <v>102</v>
      </c>
      <c r="N71" s="3">
        <v>55978.4251</v>
      </c>
      <c r="P71" s="9" t="s">
        <v>102</v>
      </c>
      <c r="Q71" s="1">
        <v>97</v>
      </c>
    </row>
    <row r="72" spans="13:17" x14ac:dyDescent="0.3">
      <c r="M72" s="9" t="s">
        <v>103</v>
      </c>
      <c r="N72" s="3">
        <v>1951.7352000000001</v>
      </c>
      <c r="P72" s="9" t="s">
        <v>103</v>
      </c>
      <c r="Q72" s="1">
        <v>25</v>
      </c>
    </row>
    <row r="73" spans="13:17" x14ac:dyDescent="0.3">
      <c r="M73" s="9" t="s">
        <v>104</v>
      </c>
      <c r="N73" s="3">
        <v>11182.7464</v>
      </c>
      <c r="P73" s="9" t="s">
        <v>104</v>
      </c>
      <c r="Q73" s="1">
        <v>5</v>
      </c>
    </row>
    <row r="74" spans="13:17" x14ac:dyDescent="0.3">
      <c r="M74" s="9" t="s">
        <v>105</v>
      </c>
      <c r="N74" s="3">
        <v>53618.073600000003</v>
      </c>
      <c r="P74" s="9" t="s">
        <v>105</v>
      </c>
      <c r="Q74" s="1">
        <v>10</v>
      </c>
    </row>
    <row r="75" spans="13:17" x14ac:dyDescent="0.3">
      <c r="M75" s="9" t="s">
        <v>106</v>
      </c>
      <c r="N75" s="3">
        <v>30892.945599999999</v>
      </c>
      <c r="P75" s="9" t="s">
        <v>106</v>
      </c>
      <c r="Q75" s="1">
        <v>100</v>
      </c>
    </row>
    <row r="76" spans="13:17" x14ac:dyDescent="0.3">
      <c r="M76" s="9" t="s">
        <v>48</v>
      </c>
      <c r="N76" s="3">
        <v>265.08949999999999</v>
      </c>
      <c r="P76" s="9" t="s">
        <v>48</v>
      </c>
      <c r="Q76" s="1">
        <v>11</v>
      </c>
    </row>
    <row r="77" spans="13:17" x14ac:dyDescent="0.3">
      <c r="M77" s="9" t="s">
        <v>107</v>
      </c>
      <c r="N77" s="3">
        <v>6470.64</v>
      </c>
      <c r="P77" s="9" t="s">
        <v>107</v>
      </c>
      <c r="Q77" s="1">
        <v>41</v>
      </c>
    </row>
    <row r="78" spans="13:17" x14ac:dyDescent="0.3">
      <c r="M78" s="9" t="s">
        <v>108</v>
      </c>
      <c r="N78" s="3">
        <v>6087.3579</v>
      </c>
      <c r="P78" s="9" t="s">
        <v>108</v>
      </c>
      <c r="Q78" s="1">
        <v>32</v>
      </c>
    </row>
    <row r="79" spans="13:17" x14ac:dyDescent="0.3">
      <c r="M79" s="9" t="s">
        <v>109</v>
      </c>
      <c r="N79" s="3">
        <v>19655.027999999998</v>
      </c>
      <c r="P79" s="9" t="s">
        <v>109</v>
      </c>
      <c r="Q79" s="1">
        <v>86</v>
      </c>
    </row>
    <row r="80" spans="13:17" x14ac:dyDescent="0.3">
      <c r="M80" s="9" t="s">
        <v>110</v>
      </c>
      <c r="N80" s="3">
        <v>3202.2804000000001</v>
      </c>
      <c r="P80" s="9" t="s">
        <v>110</v>
      </c>
      <c r="Q80" s="1">
        <v>54</v>
      </c>
    </row>
    <row r="81" spans="13:17" x14ac:dyDescent="0.3">
      <c r="M81" s="9" t="s">
        <v>111</v>
      </c>
      <c r="N81" s="3">
        <v>12010.9694</v>
      </c>
      <c r="P81" s="9" t="s">
        <v>111</v>
      </c>
      <c r="Q81" s="1">
        <v>73</v>
      </c>
    </row>
    <row r="82" spans="13:17" x14ac:dyDescent="0.3">
      <c r="M82" s="9" t="s">
        <v>112</v>
      </c>
      <c r="N82" s="3">
        <v>15399.848900000001</v>
      </c>
      <c r="P82" s="9" t="s">
        <v>112</v>
      </c>
      <c r="Q82" s="1">
        <v>57</v>
      </c>
    </row>
    <row r="83" spans="13:17" x14ac:dyDescent="0.3">
      <c r="M83" s="9" t="s">
        <v>113</v>
      </c>
      <c r="N83" s="3">
        <v>18328.569599999999</v>
      </c>
      <c r="P83" s="9" t="s">
        <v>113</v>
      </c>
      <c r="Q83" s="1">
        <v>13</v>
      </c>
    </row>
    <row r="84" spans="13:17" x14ac:dyDescent="0.3">
      <c r="M84" s="9" t="s">
        <v>114</v>
      </c>
      <c r="N84" s="3">
        <v>45018.520199999999</v>
      </c>
      <c r="P84" s="9" t="s">
        <v>114</v>
      </c>
      <c r="Q84" s="1">
        <v>12</v>
      </c>
    </row>
    <row r="85" spans="13:17" x14ac:dyDescent="0.3">
      <c r="M85" s="9" t="s">
        <v>115</v>
      </c>
      <c r="N85" s="3">
        <v>6182.8833999999997</v>
      </c>
      <c r="P85" s="9" t="s">
        <v>115</v>
      </c>
      <c r="Q85" s="1">
        <v>0</v>
      </c>
    </row>
    <row r="86" spans="13:17" x14ac:dyDescent="0.3">
      <c r="M86" s="9" t="s">
        <v>116</v>
      </c>
      <c r="N86" s="3">
        <v>28036.270499999999</v>
      </c>
      <c r="P86" s="9" t="s">
        <v>116</v>
      </c>
      <c r="Q86" s="1">
        <v>95</v>
      </c>
    </row>
    <row r="87" spans="13:17" x14ac:dyDescent="0.3">
      <c r="M87" s="9" t="s">
        <v>51</v>
      </c>
      <c r="N87" s="3">
        <v>18300.278399999999</v>
      </c>
      <c r="P87" s="9" t="s">
        <v>51</v>
      </c>
      <c r="Q87" s="1">
        <v>93</v>
      </c>
    </row>
    <row r="88" spans="13:17" x14ac:dyDescent="0.3">
      <c r="M88" s="9" t="s">
        <v>117</v>
      </c>
      <c r="N88" s="3">
        <v>1533.2639999999999</v>
      </c>
      <c r="P88" s="9" t="s">
        <v>117</v>
      </c>
      <c r="Q88" s="1">
        <v>10</v>
      </c>
    </row>
    <row r="89" spans="13:17" x14ac:dyDescent="0.3">
      <c r="M89" s="9" t="s">
        <v>118</v>
      </c>
      <c r="N89" s="3">
        <v>4065.0155</v>
      </c>
      <c r="P89" s="9" t="s">
        <v>118</v>
      </c>
      <c r="Q89" s="1">
        <v>76</v>
      </c>
    </row>
    <row r="90" spans="13:17" x14ac:dyDescent="0.3">
      <c r="M90" s="9" t="s">
        <v>119</v>
      </c>
      <c r="N90" s="3">
        <v>43117.703200000004</v>
      </c>
      <c r="P90" s="9" t="s">
        <v>119</v>
      </c>
      <c r="Q90" s="1">
        <v>57</v>
      </c>
    </row>
    <row r="91" spans="13:17" x14ac:dyDescent="0.3">
      <c r="M91" s="9" t="s">
        <v>120</v>
      </c>
      <c r="N91" s="3">
        <v>31444.125</v>
      </c>
      <c r="P91" s="9" t="s">
        <v>120</v>
      </c>
      <c r="Q91" s="1">
        <v>17</v>
      </c>
    </row>
    <row r="92" spans="13:17" x14ac:dyDescent="0.3">
      <c r="M92" s="9" t="s">
        <v>121</v>
      </c>
      <c r="N92" s="3">
        <v>2865.68</v>
      </c>
      <c r="P92" s="9" t="s">
        <v>121</v>
      </c>
      <c r="Q92" s="1">
        <v>41</v>
      </c>
    </row>
    <row r="93" spans="13:17" x14ac:dyDescent="0.3">
      <c r="M93" s="9" t="s">
        <v>122</v>
      </c>
      <c r="N93" s="3">
        <v>9857.6713999999993</v>
      </c>
      <c r="P93" s="9" t="s">
        <v>122</v>
      </c>
      <c r="Q93" s="1">
        <v>16</v>
      </c>
    </row>
    <row r="94" spans="13:17" x14ac:dyDescent="0.3">
      <c r="M94" s="9" t="s">
        <v>123</v>
      </c>
      <c r="N94" s="3">
        <v>16655.220799999999</v>
      </c>
      <c r="P94" s="9" t="s">
        <v>123</v>
      </c>
      <c r="Q94" s="1">
        <v>38</v>
      </c>
    </row>
    <row r="95" spans="13:17" x14ac:dyDescent="0.3">
      <c r="M95" s="9" t="s">
        <v>124</v>
      </c>
      <c r="N95" s="3">
        <v>20624.442299999999</v>
      </c>
      <c r="P95" s="9" t="s">
        <v>124</v>
      </c>
      <c r="Q95" s="1">
        <v>96</v>
      </c>
    </row>
    <row r="96" spans="13:17" x14ac:dyDescent="0.3">
      <c r="M96" s="9" t="s">
        <v>125</v>
      </c>
      <c r="N96" s="3">
        <v>5966.3274000000001</v>
      </c>
      <c r="P96" s="9" t="s">
        <v>125</v>
      </c>
      <c r="Q96" s="1">
        <v>5</v>
      </c>
    </row>
    <row r="97" spans="13:17" x14ac:dyDescent="0.3">
      <c r="M97" s="9" t="s">
        <v>126</v>
      </c>
      <c r="N97" s="3">
        <v>11297.286</v>
      </c>
      <c r="P97" s="9" t="s">
        <v>126</v>
      </c>
      <c r="Q97" s="1">
        <v>31</v>
      </c>
    </row>
    <row r="98" spans="13:17" x14ac:dyDescent="0.3">
      <c r="M98" s="9" t="s">
        <v>52</v>
      </c>
      <c r="N98" s="3">
        <v>10307.64</v>
      </c>
      <c r="P98" s="9" t="s">
        <v>52</v>
      </c>
      <c r="Q98" s="1">
        <v>5</v>
      </c>
    </row>
    <row r="99" spans="13:17" x14ac:dyDescent="0.3">
      <c r="M99" s="9" t="s">
        <v>127</v>
      </c>
      <c r="N99" s="3">
        <v>79463.877600000007</v>
      </c>
      <c r="P99" s="9" t="s">
        <v>127</v>
      </c>
      <c r="Q99" s="1">
        <v>39</v>
      </c>
    </row>
    <row r="100" spans="13:17" x14ac:dyDescent="0.3">
      <c r="M100" s="9" t="s">
        <v>128</v>
      </c>
      <c r="N100" s="3">
        <v>56362.060799999999</v>
      </c>
      <c r="P100" s="9" t="s">
        <v>128</v>
      </c>
      <c r="Q100" s="1">
        <v>48</v>
      </c>
    </row>
    <row r="101" spans="13:17" x14ac:dyDescent="0.3">
      <c r="M101" s="9" t="s">
        <v>129</v>
      </c>
      <c r="N101" s="3">
        <v>5723.7263999999996</v>
      </c>
      <c r="P101" s="9" t="s">
        <v>129</v>
      </c>
      <c r="Q101" s="1">
        <v>42</v>
      </c>
    </row>
    <row r="102" spans="13:17" x14ac:dyDescent="0.3">
      <c r="M102" s="9" t="s">
        <v>130</v>
      </c>
      <c r="N102" s="3">
        <v>45688.125599999999</v>
      </c>
      <c r="P102" s="9" t="s">
        <v>130</v>
      </c>
      <c r="Q102" s="1">
        <v>65</v>
      </c>
    </row>
    <row r="103" spans="13:17" x14ac:dyDescent="0.3">
      <c r="M103" s="9" t="s">
        <v>131</v>
      </c>
      <c r="N103" s="3">
        <v>55066.519200000002</v>
      </c>
      <c r="P103" s="9" t="s">
        <v>131</v>
      </c>
      <c r="Q103" s="1">
        <v>73</v>
      </c>
    </row>
    <row r="104" spans="13:17" x14ac:dyDescent="0.3">
      <c r="M104" s="9" t="s">
        <v>132</v>
      </c>
      <c r="N104" s="3">
        <v>1924.075</v>
      </c>
      <c r="P104" s="9" t="s">
        <v>132</v>
      </c>
      <c r="Q104" s="1">
        <v>15</v>
      </c>
    </row>
    <row r="105" spans="13:17" x14ac:dyDescent="0.3">
      <c r="M105" s="9" t="s">
        <v>133</v>
      </c>
      <c r="N105" s="3">
        <v>4459.5986000000003</v>
      </c>
      <c r="P105" s="9" t="s">
        <v>133</v>
      </c>
      <c r="Q105" s="1">
        <v>32</v>
      </c>
    </row>
    <row r="106" spans="13:17" x14ac:dyDescent="0.3">
      <c r="M106" s="9" t="s">
        <v>134</v>
      </c>
      <c r="N106" s="3">
        <v>6352.7060000000001</v>
      </c>
      <c r="P106" s="9" t="s">
        <v>134</v>
      </c>
      <c r="Q106" s="1">
        <v>5</v>
      </c>
    </row>
    <row r="107" spans="13:17" x14ac:dyDescent="0.3">
      <c r="M107" s="9" t="s">
        <v>135</v>
      </c>
      <c r="N107" s="3">
        <v>55474.284800000001</v>
      </c>
      <c r="P107" s="9" t="s">
        <v>135</v>
      </c>
      <c r="Q107" s="1">
        <v>60</v>
      </c>
    </row>
    <row r="108" spans="13:17" x14ac:dyDescent="0.3">
      <c r="M108" s="9" t="s">
        <v>136</v>
      </c>
      <c r="N108" s="3">
        <v>13099.8534</v>
      </c>
      <c r="P108" s="9" t="s">
        <v>136</v>
      </c>
      <c r="Q108" s="1">
        <v>90</v>
      </c>
    </row>
    <row r="109" spans="13:17" x14ac:dyDescent="0.3">
      <c r="M109" s="9" t="s">
        <v>53</v>
      </c>
      <c r="N109" s="3">
        <v>62735.385999999999</v>
      </c>
      <c r="P109" s="9" t="s">
        <v>53</v>
      </c>
      <c r="Q109" s="1">
        <v>14</v>
      </c>
    </row>
    <row r="110" spans="13:17" x14ac:dyDescent="0.3">
      <c r="M110" s="9" t="s">
        <v>137</v>
      </c>
      <c r="N110" s="3">
        <v>4442.2079999999996</v>
      </c>
      <c r="P110" s="9" t="s">
        <v>137</v>
      </c>
      <c r="Q110" s="1">
        <v>66</v>
      </c>
    </row>
    <row r="111" spans="13:17" x14ac:dyDescent="0.3">
      <c r="M111" s="9" t="s">
        <v>138</v>
      </c>
      <c r="N111" s="3">
        <v>56894.591999999997</v>
      </c>
      <c r="P111" s="9" t="s">
        <v>138</v>
      </c>
      <c r="Q111" s="1">
        <v>98</v>
      </c>
    </row>
    <row r="112" spans="13:17" x14ac:dyDescent="0.3">
      <c r="M112" s="9" t="s">
        <v>139</v>
      </c>
      <c r="N112" s="3">
        <v>13169.119199999999</v>
      </c>
      <c r="P112" s="9" t="s">
        <v>139</v>
      </c>
      <c r="Q112" s="1">
        <v>90</v>
      </c>
    </row>
    <row r="113" spans="13:17" x14ac:dyDescent="0.3">
      <c r="M113" s="9" t="s">
        <v>140</v>
      </c>
      <c r="N113" s="3">
        <v>7899.1512000000002</v>
      </c>
      <c r="P113" s="9" t="s">
        <v>140</v>
      </c>
      <c r="Q113" s="1">
        <v>63</v>
      </c>
    </row>
    <row r="114" spans="13:17" x14ac:dyDescent="0.3">
      <c r="M114" s="9" t="s">
        <v>141</v>
      </c>
      <c r="N114" s="3">
        <v>2998.2098999999998</v>
      </c>
      <c r="P114" s="9" t="s">
        <v>141</v>
      </c>
      <c r="Q114" s="1">
        <v>77</v>
      </c>
    </row>
    <row r="115" spans="13:17" x14ac:dyDescent="0.3">
      <c r="M115" s="9" t="s">
        <v>142</v>
      </c>
      <c r="N115" s="3">
        <v>52351.4208</v>
      </c>
      <c r="P115" s="9" t="s">
        <v>142</v>
      </c>
      <c r="Q115" s="1">
        <v>15</v>
      </c>
    </row>
    <row r="116" spans="13:17" x14ac:dyDescent="0.3">
      <c r="M116" s="9" t="s">
        <v>143</v>
      </c>
      <c r="N116" s="3">
        <v>7913.0843999999997</v>
      </c>
      <c r="P116" s="9" t="s">
        <v>143</v>
      </c>
      <c r="Q116" s="1">
        <v>67</v>
      </c>
    </row>
    <row r="117" spans="13:17" x14ac:dyDescent="0.3">
      <c r="M117" s="9" t="s">
        <v>144</v>
      </c>
      <c r="N117" s="3">
        <v>218.6182</v>
      </c>
      <c r="P117" s="9" t="s">
        <v>144</v>
      </c>
      <c r="Q117" s="1">
        <v>46</v>
      </c>
    </row>
    <row r="118" spans="13:17" x14ac:dyDescent="0.3">
      <c r="M118" s="9" t="s">
        <v>145</v>
      </c>
      <c r="N118" s="3">
        <v>18035.949799999999</v>
      </c>
      <c r="P118" s="9" t="s">
        <v>145</v>
      </c>
      <c r="Q118" s="1">
        <v>53</v>
      </c>
    </row>
    <row r="119" spans="13:17" x14ac:dyDescent="0.3">
      <c r="M119" s="9" t="s">
        <v>146</v>
      </c>
      <c r="N119" s="3">
        <v>42960.660600000003</v>
      </c>
      <c r="P119" s="9" t="s">
        <v>146</v>
      </c>
      <c r="Q119" s="1">
        <v>55</v>
      </c>
    </row>
    <row r="120" spans="13:17" x14ac:dyDescent="0.3">
      <c r="M120" s="9" t="s">
        <v>167</v>
      </c>
      <c r="N120" s="3">
        <v>2285549.7335000001</v>
      </c>
      <c r="P120" s="9" t="s">
        <v>167</v>
      </c>
      <c r="Q120" s="1">
        <v>4777</v>
      </c>
    </row>
  </sheetData>
  <mergeCells count="13">
    <mergeCell ref="J14:K14"/>
    <mergeCell ref="M6:N6"/>
    <mergeCell ref="P6:Q6"/>
    <mergeCell ref="M18:N18"/>
    <mergeCell ref="P18:Q18"/>
    <mergeCell ref="A2:K2"/>
    <mergeCell ref="A6:B6"/>
    <mergeCell ref="D6:E6"/>
    <mergeCell ref="A14:B14"/>
    <mergeCell ref="D14:E14"/>
    <mergeCell ref="G6:H6"/>
    <mergeCell ref="J6:K6"/>
    <mergeCell ref="G14: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D797A-CB13-4CBD-B0B0-2B26802C0E34}">
  <dimension ref="A1"/>
  <sheetViews>
    <sheetView showGridLines="0" showRowColHeaders="0" tabSelected="1" zoomScale="74" zoomScaleNormal="74" workbookViewId="0">
      <selection activeCell="AJ24" sqref="AJ24"/>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2288C-BE37-4FF1-87B6-B87E84D8F276}">
  <dimension ref="A1"/>
  <sheetViews>
    <sheetView showGridLines="0" showRowColHeaders="0" zoomScale="74" zoomScaleNormal="74" workbookViewId="0">
      <selection activeCell="A59" sqref="A59"/>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708A99C2-E644-42D9-8AD1-51466794A6DC}">
  <ds:schemaRefs/>
</ds:datastoreItem>
</file>

<file path=customXml/itemProps2.xml><?xml version="1.0" encoding="utf-8"?>
<ds:datastoreItem xmlns:ds="http://schemas.openxmlformats.org/officeDocument/2006/customXml" ds:itemID="{A4D82B5B-8F65-4AE8-A9F5-27ABB3E0DDE0}">
  <ds:schemaRefs/>
</ds:datastoreItem>
</file>

<file path=customXml/itemProps3.xml><?xml version="1.0" encoding="utf-8"?>
<ds:datastoreItem xmlns:ds="http://schemas.openxmlformats.org/officeDocument/2006/customXml" ds:itemID="{9E7CB42E-0154-4E07-8119-DB66D9866108}">
  <ds:schemaRefs/>
</ds:datastoreItem>
</file>

<file path=customXml/itemProps4.xml><?xml version="1.0" encoding="utf-8"?>
<ds:datastoreItem xmlns:ds="http://schemas.openxmlformats.org/officeDocument/2006/customXml" ds:itemID="{31D90C9C-0BB2-4AA9-AB7A-E308DCFB94D9}">
  <ds:schemaRefs/>
</ds:datastoreItem>
</file>

<file path=customXml/itemProps5.xml><?xml version="1.0" encoding="utf-8"?>
<ds:datastoreItem xmlns:ds="http://schemas.openxmlformats.org/officeDocument/2006/customXml" ds:itemID="{0890FE60-6F94-4DB0-B71D-C3F9D40AA2CA}">
  <ds:schemaRefs/>
</ds:datastoreItem>
</file>

<file path=customXml/itemProps6.xml><?xml version="1.0" encoding="utf-8"?>
<ds:datastoreItem xmlns:ds="http://schemas.openxmlformats.org/officeDocument/2006/customXml" ds:itemID="{61B36C16-7F87-410C-940E-B4E95D859AE7}">
  <ds:schemaRefs/>
</ds:datastoreItem>
</file>

<file path=customXml/itemProps7.xml><?xml version="1.0" encoding="utf-8"?>
<ds:datastoreItem xmlns:ds="http://schemas.openxmlformats.org/officeDocument/2006/customXml" ds:itemID="{0FB9BAF4-C72A-48BE-89C6-EAE3F89E86A5}">
  <ds:schemaRefs/>
</ds:datastoreItem>
</file>

<file path=customXml/itemProps8.xml><?xml version="1.0" encoding="utf-8"?>
<ds:datastoreItem xmlns:ds="http://schemas.openxmlformats.org/officeDocument/2006/customXml" ds:itemID="{1771CB69-1355-4CA2-B906-DD0CC47F3130}">
  <ds:schemaRefs>
    <ds:schemaRef ds:uri="http://schemas.microsoft.com/DataMashup"/>
  </ds:schemaRefs>
</ds:datastoreItem>
</file>

<file path=customXml/itemProps9.xml><?xml version="1.0" encoding="utf-8"?>
<ds:datastoreItem xmlns:ds="http://schemas.openxmlformats.org/officeDocument/2006/customXml" ds:itemID="{E9AA8EDD-0581-4EDD-89E1-B4EA1C1FB58B}">
  <ds:schemaRefs/>
</ds:datastoreItem>
</file>

<file path=customXml/itemProps10.xml><?xml version="1.0" encoding="utf-8"?>
<ds:datastoreItem xmlns:ds="http://schemas.openxmlformats.org/officeDocument/2006/customXml" ds:itemID="{89B7937D-B585-4C02-8560-25420C13178F}">
  <ds:schemaRefs/>
</ds:datastoreItem>
</file>

<file path=customXml/itemProps11.xml><?xml version="1.0" encoding="utf-8"?>
<ds:datastoreItem xmlns:ds="http://schemas.openxmlformats.org/officeDocument/2006/customXml" ds:itemID="{FBDA1E16-DBC9-402B-AD37-DFB5355E9A3A}">
  <ds:schemaRefs/>
</ds:datastoreItem>
</file>

<file path=customXml/itemProps12.xml><?xml version="1.0" encoding="utf-8"?>
<ds:datastoreItem xmlns:ds="http://schemas.openxmlformats.org/officeDocument/2006/customXml" ds:itemID="{753081A1-ED04-4FD5-8B19-E9CA9905141C}">
  <ds:schemaRefs/>
</ds:datastoreItem>
</file>

<file path=customXml/itemProps13.xml><?xml version="1.0" encoding="utf-8"?>
<ds:datastoreItem xmlns:ds="http://schemas.openxmlformats.org/officeDocument/2006/customXml" ds:itemID="{B72FA47F-5C6E-4A22-9243-6FD5B18D72C3}">
  <ds:schemaRefs/>
</ds:datastoreItem>
</file>

<file path=customXml/itemProps14.xml><?xml version="1.0" encoding="utf-8"?>
<ds:datastoreItem xmlns:ds="http://schemas.openxmlformats.org/officeDocument/2006/customXml" ds:itemID="{B0811702-5F4D-4A64-BC2F-EB7601E7DFBF}">
  <ds:schemaRefs/>
</ds:datastoreItem>
</file>

<file path=customXml/itemProps15.xml><?xml version="1.0" encoding="utf-8"?>
<ds:datastoreItem xmlns:ds="http://schemas.openxmlformats.org/officeDocument/2006/customXml" ds:itemID="{4444174C-D563-4E17-BBD0-2AFC1217D154}">
  <ds:schemaRefs/>
</ds:datastoreItem>
</file>

<file path=customXml/itemProps16.xml><?xml version="1.0" encoding="utf-8"?>
<ds:datastoreItem xmlns:ds="http://schemas.openxmlformats.org/officeDocument/2006/customXml" ds:itemID="{2F4F7D88-3308-4FA8-9AA4-742985846AFF}">
  <ds:schemaRefs/>
</ds:datastoreItem>
</file>

<file path=customXml/itemProps17.xml><?xml version="1.0" encoding="utf-8"?>
<ds:datastoreItem xmlns:ds="http://schemas.openxmlformats.org/officeDocument/2006/customXml" ds:itemID="{FC37CD50-7199-485B-8A66-4AE82E63F9A8}">
  <ds:schemaRefs/>
</ds:datastoreItem>
</file>

<file path=customXml/itemProps18.xml><?xml version="1.0" encoding="utf-8"?>
<ds:datastoreItem xmlns:ds="http://schemas.openxmlformats.org/officeDocument/2006/customXml" ds:itemID="{C709F966-87FD-43A3-8936-C2CADA661734}">
  <ds:schemaRefs/>
</ds:datastoreItem>
</file>

<file path=customXml/itemProps19.xml><?xml version="1.0" encoding="utf-8"?>
<ds:datastoreItem xmlns:ds="http://schemas.openxmlformats.org/officeDocument/2006/customXml" ds:itemID="{1CBC3742-1F0B-4C49-9C4C-7CEE56B3DE08}">
  <ds:schemaRefs/>
</ds:datastoreItem>
</file>

<file path=customXml/itemProps20.xml><?xml version="1.0" encoding="utf-8"?>
<ds:datastoreItem xmlns:ds="http://schemas.openxmlformats.org/officeDocument/2006/customXml" ds:itemID="{750C159B-401E-4D23-B7CA-EFD9F5C0B5C8}">
  <ds:schemaRefs/>
</ds:datastoreItem>
</file>

<file path=customXml/itemProps21.xml><?xml version="1.0" encoding="utf-8"?>
<ds:datastoreItem xmlns:ds="http://schemas.openxmlformats.org/officeDocument/2006/customXml" ds:itemID="{441FA92E-89F2-4425-BA41-0B365C80B8BF}">
  <ds:schemaRefs/>
</ds:datastoreItem>
</file>

<file path=customXml/itemProps22.xml><?xml version="1.0" encoding="utf-8"?>
<ds:datastoreItem xmlns:ds="http://schemas.openxmlformats.org/officeDocument/2006/customXml" ds:itemID="{A74420A8-64E8-4528-B7FA-73B03BCB0BDF}">
  <ds:schemaRefs/>
</ds:datastoreItem>
</file>

<file path=customXml/itemProps23.xml><?xml version="1.0" encoding="utf-8"?>
<ds:datastoreItem xmlns:ds="http://schemas.openxmlformats.org/officeDocument/2006/customXml" ds:itemID="{A62C23AB-6B21-4AB2-869D-5129C5E6366E}">
  <ds:schemaRefs/>
</ds:datastoreItem>
</file>

<file path=customXml/itemProps24.xml><?xml version="1.0" encoding="utf-8"?>
<ds:datastoreItem xmlns:ds="http://schemas.openxmlformats.org/officeDocument/2006/customXml" ds:itemID="{7ED2D0BA-87B6-420B-B02E-15261D27A9A9}">
  <ds:schemaRefs/>
</ds:datastoreItem>
</file>

<file path=customXml/itemProps25.xml><?xml version="1.0" encoding="utf-8"?>
<ds:datastoreItem xmlns:ds="http://schemas.openxmlformats.org/officeDocument/2006/customXml" ds:itemID="{D61EF6EB-9604-4818-A782-DE42D7FB8533}">
  <ds:schemaRefs/>
</ds:datastoreItem>
</file>

<file path=customXml/itemProps26.xml><?xml version="1.0" encoding="utf-8"?>
<ds:datastoreItem xmlns:ds="http://schemas.openxmlformats.org/officeDocument/2006/customXml" ds:itemID="{B69E8B50-8B86-443D-A88D-3372F59E3F50}">
  <ds:schemaRefs/>
</ds:datastoreItem>
</file>

<file path=customXml/itemProps27.xml><?xml version="1.0" encoding="utf-8"?>
<ds:datastoreItem xmlns:ds="http://schemas.openxmlformats.org/officeDocument/2006/customXml" ds:itemID="{26533536-6BF3-4933-90C1-E20A7DABF88E}">
  <ds:schemaRefs/>
</ds:datastoreItem>
</file>

<file path=customXml/itemProps28.xml><?xml version="1.0" encoding="utf-8"?>
<ds:datastoreItem xmlns:ds="http://schemas.openxmlformats.org/officeDocument/2006/customXml" ds:itemID="{3D70B6CC-7E4D-4EEF-BD37-004B7F70EFEA}">
  <ds:schemaRefs/>
</ds:datastoreItem>
</file>

<file path=customXml/itemProps29.xml><?xml version="1.0" encoding="utf-8"?>
<ds:datastoreItem xmlns:ds="http://schemas.openxmlformats.org/officeDocument/2006/customXml" ds:itemID="{F4D884F4-7F5B-41C0-AAAD-F8D9E47F71D1}">
  <ds:schemaRefs/>
</ds:datastoreItem>
</file>

<file path=customXml/itemProps30.xml><?xml version="1.0" encoding="utf-8"?>
<ds:datastoreItem xmlns:ds="http://schemas.openxmlformats.org/officeDocument/2006/customXml" ds:itemID="{A98A2313-C66E-43C8-B0EF-E3FB4CB38917}">
  <ds:schemaRefs/>
</ds:datastoreItem>
</file>

<file path=customXml/itemProps31.xml><?xml version="1.0" encoding="utf-8"?>
<ds:datastoreItem xmlns:ds="http://schemas.openxmlformats.org/officeDocument/2006/customXml" ds:itemID="{F9CD5B22-51F0-4877-815E-52D135EFAB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Supply Chain</vt:lpstr>
      <vt:lpstr>Analysis</vt:lpstr>
      <vt:lpstr>Supplier and Logistic Dashboard</vt:lpstr>
      <vt:lpstr>Customer DashBoard</vt:lpstr>
      <vt:lpstr>Avg</vt:lpstr>
      <vt:lpstr>AVG_Price_of_Goods</vt:lpstr>
      <vt:lpstr>Avg_Shipping_Time</vt:lpstr>
      <vt:lpstr>Avg_Sup_Leadtime</vt:lpstr>
      <vt:lpstr>Avg_Transportation_Cost</vt:lpstr>
      <vt:lpstr>Defect_rate</vt:lpstr>
      <vt:lpstr>Orders</vt:lpstr>
      <vt:lpstr>Product_Sold</vt:lpstr>
      <vt:lpstr>Product_Type</vt:lpstr>
      <vt:lpstr>Revenue</vt:lpstr>
      <vt:lpstr>Stock_level</vt:lpstr>
      <vt:lpstr>Total_shipping_cost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Onabanjo</dc:creator>
  <cp:lastModifiedBy>David Onabanjo</cp:lastModifiedBy>
  <dcterms:created xsi:type="dcterms:W3CDTF">2025-12-01T16:25:26Z</dcterms:created>
  <dcterms:modified xsi:type="dcterms:W3CDTF">2025-12-01T22:53:22Z</dcterms:modified>
</cp:coreProperties>
</file>